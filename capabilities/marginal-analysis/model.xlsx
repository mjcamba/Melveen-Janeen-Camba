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MC_Schedules" sheetId="2" state="visible" r:id="rId2"/>
    <sheet name="SolverRuns" sheetId="3" state="visible" r:id="rId3"/>
    <sheet name="Audit" sheetId="4" state="visible" r:id="rId4"/>
  </sheets>
  <definedNames>
    <definedName name="TOM_BEDS">'Model'!$B$2</definedName>
    <definedName name="CAR_BEDS">'Model'!$B$3</definedName>
    <definedName name="MES_BEDS">'Model'!$B$4</definedName>
    <definedName name="WEEKS">'Model'!$B$6</definedName>
    <definedName name="FIXED_COSTS">'Model'!$B$7</definedName>
    <definedName name="TOTAL_BED_CAP">'Model'!$B$8</definedName>
    <definedName name="FARMER_HOURS">'Model'!$B$9</definedName>
    <definedName name="FARMER_SALARY">'Model'!$B$10</definedName>
    <definedName name="TEMP_WORKER_SALARY">'Model'!$B$11</definedName>
    <definedName name="TEMP_WORKER_HOURS">'Model'!$B$12</definedName>
    <definedName name="FARMER_LABOR_RATE">'Model'!$B$13</definedName>
    <definedName name="TEMP_LABOR_RATE">'Model'!$B$14</definedName>
    <definedName name="TEMP_WORKER_CAP">'Model'!$B$15</definedName>
    <definedName name="TOM_PRICE">'Model'!$B$17</definedName>
    <definedName name="TOM_HRS">'Model'!$B$18</definedName>
    <definedName name="TOM_FERTILIZER">'Model'!$B$19</definedName>
    <definedName name="TOM_DIM_PCT">'Model'!$B$20</definedName>
    <definedName name="TOM_MAX_BEDS">'Model'!$B$21</definedName>
    <definedName name="CAR_PRICE">'Model'!$B$23</definedName>
    <definedName name="CAR_HRS">'Model'!$B$24</definedName>
    <definedName name="CAR_FERTILIZER">'Model'!$B$25</definedName>
    <definedName name="CAR_DIM_PCT">'Model'!$B$26</definedName>
    <definedName name="CAR_MAX_BEDS">'Model'!$B$27</definedName>
    <definedName name="MES_PRICE">'Model'!$B$29</definedName>
    <definedName name="MES_HRS">'Model'!$B$30</definedName>
    <definedName name="MES_FERTILIZER">'Model'!$B$31</definedName>
    <definedName name="MES_DIM_PCT">'Model'!$B$32</definedName>
    <definedName name="MES_MAX_BEDS">'Model'!$B$33</definedName>
    <definedName name="TOM_LABOR_HOURS">'Model'!$B$35</definedName>
    <definedName name="CAR_LABOR_HOURS">'Model'!$B$36</definedName>
    <definedName name="MES_LABOR_HOURS">'Model'!$B$37</definedName>
    <definedName name="TOTAL_LABOR_HOURS">'Model'!$B$38</definedName>
    <definedName name="PERM_HRS_USED">'Model'!$B$39</definedName>
    <definedName name="TEMP_HRS">'Model'!$B$40</definedName>
    <definedName name="TEMP_WORKERS_NEEDED">'Model'!$B$41</definedName>
    <definedName name="LABOR_COST">'Model'!$B$42</definedName>
    <definedName name="BLENDED_RATE">'Model'!$B$43</definedName>
    <definedName name="TOM_REVENUE">'Model'!$B$44</definedName>
    <definedName name="CAR_REVENUE">'Model'!$B$45</definedName>
    <definedName name="MES_REVENUE">'Model'!$B$46</definedName>
    <definedName name="TOTAL_REVENUE">'Model'!$B$47</definedName>
    <definedName name="TOM_FERT_COST">'Model'!$B$48</definedName>
    <definedName name="CAR_FERT_COST">'Model'!$B$49</definedName>
    <definedName name="MES_FERT_COST">'Model'!$B$50</definedName>
    <definedName name="TOTAL_FERTILIZER_COST">'Model'!$B$51</definedName>
    <definedName name="TOTAL_COST">'Model'!$B$52</definedName>
    <definedName name="PROFIT">'Model'!$B$53</definedName>
    <definedName name="SEASON_PROFIT">'Model'!$B$54</definedName>
    <definedName name="TOTAL_BEDS">'Model'!$B$55</definedName>
    <definedName name="BEDS_CHECK">'Model'!$B$56</definedName>
    <definedName name="TEMP_CHECK">'Model'!$B$57</definedName>
    <definedName name="OPT_TOM_BEDS">'Model'!$B$58</definedName>
    <definedName name="OPT_CAR_BEDS">'Model'!$B$59</definedName>
    <definedName name="OPT_MES_BEDS">'Model'!$B$60</definedName>
    <definedName name="TOM_MC_SCHEDULE">'MC_Schedules'!$D$2:$D$15</definedName>
    <definedName name="CAR_MC_SCHEDULE">'MC_Schedules'!$I$2:$I$21</definedName>
    <definedName name="MES_MC_SCHEDULE">'MC_Schedules'!$N$2:$N$31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TOM_BEDS</t>
        </is>
      </c>
      <c r="B2" t="n">
        <v>0</v>
      </c>
      <c r="C2" t="inlineStr">
        <is>
          <t>beds</t>
        </is>
      </c>
      <c r="D2" t="inlineStr">
        <is>
          <t>Decision variable</t>
        </is>
      </c>
    </row>
    <row r="3">
      <c r="A3" t="inlineStr">
        <is>
          <t>CAR_BEDS</t>
        </is>
      </c>
      <c r="B3" t="n">
        <v>0</v>
      </c>
      <c r="C3" t="inlineStr">
        <is>
          <t>beds</t>
        </is>
      </c>
      <c r="D3" t="inlineStr">
        <is>
          <t>Decision variable</t>
        </is>
      </c>
    </row>
    <row r="4">
      <c r="A4" t="inlineStr">
        <is>
          <t>MES_BEDS</t>
        </is>
      </c>
      <c r="B4" t="n">
        <v>0</v>
      </c>
      <c r="C4" t="inlineStr">
        <is>
          <t>beds</t>
        </is>
      </c>
      <c r="D4" t="inlineStr">
        <is>
          <t>Decision variable</t>
        </is>
      </c>
    </row>
    <row r="5">
      <c r="A5" t="inlineStr"/>
      <c r="B5" t="inlineStr"/>
      <c r="C5" t="inlineStr"/>
      <c r="D5" t="inlineStr"/>
    </row>
    <row r="6">
      <c r="A6" t="inlineStr">
        <is>
          <t>WEEKS</t>
        </is>
      </c>
      <c r="B6" t="n">
        <v>36</v>
      </c>
      <c r="C6" t="inlineStr">
        <is>
          <t>weeks</t>
        </is>
      </c>
      <c r="D6" t="inlineStr">
        <is>
          <t>Input</t>
        </is>
      </c>
    </row>
    <row r="7">
      <c r="A7" t="inlineStr">
        <is>
          <t>FIXED_COSTS</t>
        </is>
      </c>
      <c r="B7" t="n">
        <v>20000</v>
      </c>
      <c r="C7" t="inlineStr">
        <is>
          <t>USD/season</t>
        </is>
      </c>
      <c r="D7" t="inlineStr">
        <is>
          <t>Input</t>
        </is>
      </c>
    </row>
    <row r="8">
      <c r="A8" t="inlineStr">
        <is>
          <t>TOTAL_BED_CAP</t>
        </is>
      </c>
      <c r="B8" t="n">
        <v>64</v>
      </c>
      <c r="C8" t="inlineStr">
        <is>
          <t>beds</t>
        </is>
      </c>
      <c r="D8" t="inlineStr">
        <is>
          <t>Input</t>
        </is>
      </c>
    </row>
    <row r="9">
      <c r="A9" t="inlineStr">
        <is>
          <t>FARMER_HOURS</t>
        </is>
      </c>
      <c r="B9" t="n">
        <v>720</v>
      </c>
      <c r="C9" t="inlineStr">
        <is>
          <t>hours</t>
        </is>
      </c>
      <c r="D9" t="inlineStr">
        <is>
          <t>Input</t>
        </is>
      </c>
    </row>
    <row r="10">
      <c r="A10" t="inlineStr">
        <is>
          <t>FARMER_SALARY</t>
        </is>
      </c>
      <c r="B10" t="n">
        <v>50000</v>
      </c>
      <c r="C10" t="inlineStr">
        <is>
          <t>USD/season</t>
        </is>
      </c>
      <c r="D10" t="inlineStr">
        <is>
          <t>Input</t>
        </is>
      </c>
    </row>
    <row r="11">
      <c r="A11" t="inlineStr">
        <is>
          <t>TEMP_WORKER_SALARY</t>
        </is>
      </c>
      <c r="B11" t="n">
        <v>25000</v>
      </c>
      <c r="C11" t="inlineStr">
        <is>
          <t>USD/season</t>
        </is>
      </c>
      <c r="D11" t="inlineStr">
        <is>
          <t>Input</t>
        </is>
      </c>
    </row>
    <row r="12">
      <c r="A12" t="inlineStr">
        <is>
          <t>TEMP_WORKER_HOURS</t>
        </is>
      </c>
      <c r="B12">
        <f>WEEKS*40</f>
        <v/>
      </c>
      <c r="C12" t="inlineStr">
        <is>
          <t>hours/worker</t>
        </is>
      </c>
      <c r="D12" t="inlineStr">
        <is>
          <t>Derived input</t>
        </is>
      </c>
    </row>
    <row r="13">
      <c r="A13" t="inlineStr">
        <is>
          <t>FARMER_LABOR_RATE</t>
        </is>
      </c>
      <c r="B13">
        <f>FARMER_SALARY/TEMP_WORKER_HOURS</f>
        <v/>
      </c>
      <c r="C13" t="inlineStr">
        <is>
          <t>USD/hour</t>
        </is>
      </c>
      <c r="D13" t="inlineStr">
        <is>
          <t>Derived input</t>
        </is>
      </c>
    </row>
    <row r="14">
      <c r="A14" t="inlineStr">
        <is>
          <t>TEMP_LABOR_RATE</t>
        </is>
      </c>
      <c r="B14">
        <f>TEMP_WORKER_SALARY/TEMP_WORKER_HOURS</f>
        <v/>
      </c>
      <c r="C14" t="inlineStr">
        <is>
          <t>USD/hour</t>
        </is>
      </c>
      <c r="D14" t="inlineStr">
        <is>
          <t>Derived input</t>
        </is>
      </c>
    </row>
    <row r="15">
      <c r="A15" t="inlineStr">
        <is>
          <t>TEMP_WORKER_CAP</t>
        </is>
      </c>
      <c r="B15" t="n">
        <v>4</v>
      </c>
      <c r="C15" t="inlineStr">
        <is>
          <t>workers</t>
        </is>
      </c>
      <c r="D15" t="inlineStr">
        <is>
          <t>Input</t>
        </is>
      </c>
    </row>
    <row r="16">
      <c r="A16" t="inlineStr"/>
      <c r="B16" t="inlineStr"/>
      <c r="C16" t="inlineStr"/>
      <c r="D16" t="inlineStr"/>
    </row>
    <row r="17">
      <c r="A17" t="inlineStr">
        <is>
          <t>TOM_PRICE</t>
        </is>
      </c>
      <c r="B17" t="n">
        <v>8800</v>
      </c>
      <c r="C17" t="inlineStr">
        <is>
          <t>USD/bed</t>
        </is>
      </c>
      <c r="D17" t="inlineStr">
        <is>
          <t>Input</t>
        </is>
      </c>
    </row>
    <row r="18">
      <c r="A18" t="inlineStr">
        <is>
          <t>TOM_HRS</t>
        </is>
      </c>
      <c r="B18" t="n">
        <v>2.5</v>
      </c>
      <c r="C18" t="inlineStr">
        <is>
          <t>hours/week/bed</t>
        </is>
      </c>
      <c r="D18" t="inlineStr">
        <is>
          <t>Input</t>
        </is>
      </c>
    </row>
    <row r="19">
      <c r="A19" t="inlineStr">
        <is>
          <t>TOM_FERTILIZER</t>
        </is>
      </c>
      <c r="B19" t="n">
        <v>880</v>
      </c>
      <c r="C19" t="inlineStr">
        <is>
          <t>USD/bed</t>
        </is>
      </c>
      <c r="D19" t="inlineStr">
        <is>
          <t>Input</t>
        </is>
      </c>
    </row>
    <row r="20">
      <c r="A20" t="inlineStr">
        <is>
          <t>TOM_DIM_PCT</t>
        </is>
      </c>
      <c r="B20" t="n">
        <v>0.1</v>
      </c>
      <c r="C20" t="inlineStr">
        <is>
          <t>rate</t>
        </is>
      </c>
      <c r="D20" t="inlineStr">
        <is>
          <t>Input</t>
        </is>
      </c>
    </row>
    <row r="21">
      <c r="A21" t="inlineStr">
        <is>
          <t>TOM_MAX_BEDS</t>
        </is>
      </c>
      <c r="B21" t="n">
        <v>14</v>
      </c>
      <c r="C21" t="inlineStr">
        <is>
          <t>beds</t>
        </is>
      </c>
      <c r="D21" t="inlineStr">
        <is>
          <t>Input</t>
        </is>
      </c>
    </row>
    <row r="22">
      <c r="A22" t="inlineStr"/>
      <c r="B22" t="inlineStr"/>
      <c r="C22" t="inlineStr"/>
      <c r="D22" t="inlineStr"/>
    </row>
    <row r="23">
      <c r="A23" t="inlineStr">
        <is>
          <t>CAR_PRICE</t>
        </is>
      </c>
      <c r="B23" t="n">
        <v>2094</v>
      </c>
      <c r="C23" t="inlineStr">
        <is>
          <t>USD/bed</t>
        </is>
      </c>
      <c r="D23" t="inlineStr">
        <is>
          <t>Input</t>
        </is>
      </c>
    </row>
    <row r="24">
      <c r="A24" t="inlineStr">
        <is>
          <t>CAR_HRS</t>
        </is>
      </c>
      <c r="B24" t="n">
        <v>0.83</v>
      </c>
      <c r="C24" t="inlineStr">
        <is>
          <t>hours/week/bed</t>
        </is>
      </c>
      <c r="D24" t="inlineStr">
        <is>
          <t>Input</t>
        </is>
      </c>
    </row>
    <row r="25">
      <c r="A25" t="inlineStr">
        <is>
          <t>CAR_FERTILIZER</t>
        </is>
      </c>
      <c r="B25" t="n">
        <v>440</v>
      </c>
      <c r="C25" t="inlineStr">
        <is>
          <t>USD/bed</t>
        </is>
      </c>
      <c r="D25" t="inlineStr">
        <is>
          <t>Input</t>
        </is>
      </c>
    </row>
    <row r="26">
      <c r="A26" t="inlineStr">
        <is>
          <t>CAR_DIM_PCT</t>
        </is>
      </c>
      <c r="B26" t="n">
        <v>0.025</v>
      </c>
      <c r="C26" t="inlineStr">
        <is>
          <t>rate</t>
        </is>
      </c>
      <c r="D26" t="inlineStr">
        <is>
          <t>Input</t>
        </is>
      </c>
    </row>
    <row r="27">
      <c r="A27" t="inlineStr">
        <is>
          <t>CAR_MAX_BEDS</t>
        </is>
      </c>
      <c r="B27" t="n">
        <v>20</v>
      </c>
      <c r="C27" t="inlineStr">
        <is>
          <t>beds</t>
        </is>
      </c>
      <c r="D27" t="inlineStr">
        <is>
          <t>Input</t>
        </is>
      </c>
    </row>
    <row r="28">
      <c r="A28" t="inlineStr"/>
      <c r="B28" t="inlineStr"/>
      <c r="C28" t="inlineStr"/>
      <c r="D28" t="inlineStr"/>
    </row>
    <row r="29">
      <c r="A29" t="inlineStr">
        <is>
          <t>MES_PRICE</t>
        </is>
      </c>
      <c r="B29" t="n">
        <v>2700</v>
      </c>
      <c r="C29" t="inlineStr">
        <is>
          <t>USD/bed</t>
        </is>
      </c>
      <c r="D29" t="inlineStr">
        <is>
          <t>Input</t>
        </is>
      </c>
    </row>
    <row r="30">
      <c r="A30" t="inlineStr">
        <is>
          <t>MES_HRS</t>
        </is>
      </c>
      <c r="B30" t="n">
        <v>1.25</v>
      </c>
      <c r="C30" t="inlineStr">
        <is>
          <t>hours/week/bed</t>
        </is>
      </c>
      <c r="D30" t="inlineStr">
        <is>
          <t>Input</t>
        </is>
      </c>
    </row>
    <row r="31">
      <c r="A31" t="inlineStr">
        <is>
          <t>MES_FERTILIZER</t>
        </is>
      </c>
      <c r="B31" t="n">
        <v>880</v>
      </c>
      <c r="C31" t="inlineStr">
        <is>
          <t>USD/bed</t>
        </is>
      </c>
      <c r="D31" t="inlineStr">
        <is>
          <t>Input</t>
        </is>
      </c>
    </row>
    <row r="32">
      <c r="A32" t="inlineStr">
        <is>
          <t>MES_DIM_PCT</t>
        </is>
      </c>
      <c r="B32" t="n">
        <v>0.0125</v>
      </c>
      <c r="C32" t="inlineStr">
        <is>
          <t>rate</t>
        </is>
      </c>
      <c r="D32" t="inlineStr">
        <is>
          <t>Input</t>
        </is>
      </c>
    </row>
    <row r="33">
      <c r="A33" t="inlineStr">
        <is>
          <t>MES_MAX_BEDS</t>
        </is>
      </c>
      <c r="B33" t="n">
        <v>30</v>
      </c>
      <c r="C33" t="inlineStr">
        <is>
          <t>beds</t>
        </is>
      </c>
      <c r="D33" t="inlineStr">
        <is>
          <t>Input</t>
        </is>
      </c>
    </row>
    <row r="34">
      <c r="A34" t="inlineStr"/>
      <c r="B34" t="inlineStr"/>
      <c r="C34" t="inlineStr"/>
      <c r="D34" t="inlineStr"/>
    </row>
    <row r="35">
      <c r="A35" t="inlineStr">
        <is>
          <t>TOM_LABOR_HOURS</t>
        </is>
      </c>
      <c r="B35">
        <f>TOM_BEDS*TOM_HRS*WEEKS*(1+TOM_DIM_PCT)^TOM_BEDS</f>
        <v/>
      </c>
      <c r="C35" t="inlineStr">
        <is>
          <t>hours</t>
        </is>
      </c>
      <c r="D35" t="inlineStr">
        <is>
          <t>Calculated</t>
        </is>
      </c>
    </row>
    <row r="36">
      <c r="A36" t="inlineStr">
        <is>
          <t>CAR_LABOR_HOURS</t>
        </is>
      </c>
      <c r="B36">
        <f>CAR_BEDS*CAR_HRS*WEEKS*(1+CAR_DIM_PCT)^CAR_BEDS</f>
        <v/>
      </c>
      <c r="C36" t="inlineStr">
        <is>
          <t>hours</t>
        </is>
      </c>
      <c r="D36" t="inlineStr">
        <is>
          <t>Calculated</t>
        </is>
      </c>
    </row>
    <row r="37">
      <c r="A37" t="inlineStr">
        <is>
          <t>MES_LABOR_HOURS</t>
        </is>
      </c>
      <c r="B37">
        <f>MES_BEDS*MES_HRS*WEEKS*(1+MES_DIM_PCT)^MES_BEDS</f>
        <v/>
      </c>
      <c r="C37" t="inlineStr">
        <is>
          <t>hours</t>
        </is>
      </c>
      <c r="D37" t="inlineStr">
        <is>
          <t>Calculated</t>
        </is>
      </c>
    </row>
    <row r="38">
      <c r="A38" t="inlineStr">
        <is>
          <t>TOTAL_LABOR_HOURS</t>
        </is>
      </c>
      <c r="B38">
        <f>TOM_LABOR_HOURS+CAR_LABOR_HOURS+MES_LABOR_HOURS</f>
        <v/>
      </c>
      <c r="C38" t="inlineStr">
        <is>
          <t>hours</t>
        </is>
      </c>
      <c r="D38" t="inlineStr">
        <is>
          <t>Calculated</t>
        </is>
      </c>
    </row>
    <row r="39">
      <c r="A39" t="inlineStr">
        <is>
          <t>PERM_HRS_USED</t>
        </is>
      </c>
      <c r="B39">
        <f>MIN(TOTAL_LABOR_HOURS,FARMER_HOURS)</f>
        <v/>
      </c>
      <c r="C39" t="inlineStr">
        <is>
          <t>hours</t>
        </is>
      </c>
      <c r="D39" t="inlineStr">
        <is>
          <t>Calculated</t>
        </is>
      </c>
    </row>
    <row r="40">
      <c r="A40" t="inlineStr">
        <is>
          <t>TEMP_HRS</t>
        </is>
      </c>
      <c r="B40">
        <f>MAX(TOTAL_LABOR_HOURS-FARMER_HOURS,0)</f>
        <v/>
      </c>
      <c r="C40" t="inlineStr">
        <is>
          <t>hours</t>
        </is>
      </c>
      <c r="D40" t="inlineStr">
        <is>
          <t>Calculated</t>
        </is>
      </c>
    </row>
    <row r="41">
      <c r="A41" t="inlineStr">
        <is>
          <t>TEMP_WORKERS_NEEDED</t>
        </is>
      </c>
      <c r="B41">
        <f>TEMP_HRS/TEMP_WORKER_HOURS</f>
        <v/>
      </c>
      <c r="C41" t="inlineStr">
        <is>
          <t>workers</t>
        </is>
      </c>
      <c r="D41" t="inlineStr">
        <is>
          <t>Calculated</t>
        </is>
      </c>
    </row>
    <row r="42">
      <c r="A42" t="inlineStr">
        <is>
          <t>LABOR_COST</t>
        </is>
      </c>
      <c r="B42">
        <f>PERM_HRS_USED*FARMER_LABOR_RATE+TEMP_HRS*TEMP_LABOR_RATE</f>
        <v/>
      </c>
      <c r="C42" t="inlineStr">
        <is>
          <t>USD</t>
        </is>
      </c>
      <c r="D42" t="inlineStr">
        <is>
          <t>Calculated</t>
        </is>
      </c>
    </row>
    <row r="43">
      <c r="A43" t="inlineStr">
        <is>
          <t>BLENDED_RATE</t>
        </is>
      </c>
      <c r="B43">
        <f>IF(TOTAL_LABOR_HOURS=0,0,LABOR_COST/TOTAL_LABOR_HOURS)</f>
        <v/>
      </c>
      <c r="C43" t="inlineStr">
        <is>
          <t>USD/hour</t>
        </is>
      </c>
      <c r="D43" t="inlineStr">
        <is>
          <t>Calculated</t>
        </is>
      </c>
    </row>
    <row r="44">
      <c r="A44" t="inlineStr">
        <is>
          <t>TOM_REVENUE</t>
        </is>
      </c>
      <c r="B44">
        <f>TOM_BEDS*TOM_PRICE</f>
        <v/>
      </c>
      <c r="C44" t="inlineStr">
        <is>
          <t>USD</t>
        </is>
      </c>
      <c r="D44" t="inlineStr">
        <is>
          <t>Calculated</t>
        </is>
      </c>
    </row>
    <row r="45">
      <c r="A45" t="inlineStr">
        <is>
          <t>CAR_REVENUE</t>
        </is>
      </c>
      <c r="B45">
        <f>CAR_BEDS*CAR_PRICE</f>
        <v/>
      </c>
      <c r="C45" t="inlineStr">
        <is>
          <t>USD</t>
        </is>
      </c>
      <c r="D45" t="inlineStr">
        <is>
          <t>Calculated</t>
        </is>
      </c>
    </row>
    <row r="46">
      <c r="A46" t="inlineStr">
        <is>
          <t>MES_REVENUE</t>
        </is>
      </c>
      <c r="B46">
        <f>MES_BEDS*MES_PRICE</f>
        <v/>
      </c>
      <c r="C46" t="inlineStr">
        <is>
          <t>USD</t>
        </is>
      </c>
      <c r="D46" t="inlineStr">
        <is>
          <t>Calculated</t>
        </is>
      </c>
    </row>
    <row r="47">
      <c r="A47" t="inlineStr">
        <is>
          <t>TOTAL_REVENUE</t>
        </is>
      </c>
      <c r="B47">
        <f>TOM_REVENUE+CAR_REVENUE+MES_REVENUE</f>
        <v/>
      </c>
      <c r="C47" t="inlineStr">
        <is>
          <t>USD</t>
        </is>
      </c>
      <c r="D47" t="inlineStr">
        <is>
          <t>Calculated</t>
        </is>
      </c>
    </row>
    <row r="48">
      <c r="A48" t="inlineStr">
        <is>
          <t>TOM_FERT_COST</t>
        </is>
      </c>
      <c r="B48">
        <f>TOM_BEDS*TOM_FERTILIZER</f>
        <v/>
      </c>
      <c r="C48" t="inlineStr">
        <is>
          <t>USD</t>
        </is>
      </c>
      <c r="D48" t="inlineStr">
        <is>
          <t>Calculated</t>
        </is>
      </c>
    </row>
    <row r="49">
      <c r="A49" t="inlineStr">
        <is>
          <t>CAR_FERT_COST</t>
        </is>
      </c>
      <c r="B49">
        <f>CAR_BEDS*CAR_FERTILIZER</f>
        <v/>
      </c>
      <c r="C49" t="inlineStr">
        <is>
          <t>USD</t>
        </is>
      </c>
      <c r="D49" t="inlineStr">
        <is>
          <t>Calculated</t>
        </is>
      </c>
    </row>
    <row r="50">
      <c r="A50" t="inlineStr">
        <is>
          <t>MES_FERT_COST</t>
        </is>
      </c>
      <c r="B50">
        <f>MES_BEDS*MES_FERTILIZER</f>
        <v/>
      </c>
      <c r="C50" t="inlineStr">
        <is>
          <t>USD</t>
        </is>
      </c>
      <c r="D50" t="inlineStr">
        <is>
          <t>Calculated</t>
        </is>
      </c>
    </row>
    <row r="51">
      <c r="A51" t="inlineStr">
        <is>
          <t>TOTAL_FERTILIZER_COST</t>
        </is>
      </c>
      <c r="B51">
        <f>TOM_FERT_COST+CAR_FERT_COST+MES_FERT_COST</f>
        <v/>
      </c>
      <c r="C51" t="inlineStr">
        <is>
          <t>USD</t>
        </is>
      </c>
      <c r="D51" t="inlineStr">
        <is>
          <t>Calculated</t>
        </is>
      </c>
    </row>
    <row r="52">
      <c r="A52" t="inlineStr">
        <is>
          <t>TOTAL_COST</t>
        </is>
      </c>
      <c r="B52">
        <f>LABOR_COST+TOTAL_FERTILIZER_COST+FIXED_COSTS</f>
        <v/>
      </c>
      <c r="C52" t="inlineStr">
        <is>
          <t>USD</t>
        </is>
      </c>
      <c r="D52" t="inlineStr">
        <is>
          <t>Calculated</t>
        </is>
      </c>
    </row>
    <row r="53">
      <c r="A53" t="inlineStr">
        <is>
          <t>PROFIT</t>
        </is>
      </c>
      <c r="B53">
        <f>TOTAL_REVENUE-LABOR_COST-TOTAL_FERTILIZER_COST-FIXED_COSTS</f>
        <v/>
      </c>
      <c r="C53" t="inlineStr">
        <is>
          <t>USD</t>
        </is>
      </c>
      <c r="D53" t="inlineStr">
        <is>
          <t>Objective</t>
        </is>
      </c>
    </row>
    <row r="54">
      <c r="A54" t="inlineStr">
        <is>
          <t>SEASON_PROFIT</t>
        </is>
      </c>
      <c r="B54">
        <f>PROFIT</f>
        <v/>
      </c>
      <c r="C54" t="inlineStr">
        <is>
          <t>USD</t>
        </is>
      </c>
      <c r="D54" t="inlineStr">
        <is>
          <t>Output alias</t>
        </is>
      </c>
    </row>
    <row r="55">
      <c r="A55" t="inlineStr">
        <is>
          <t>TOTAL_BEDS</t>
        </is>
      </c>
      <c r="B55">
        <f>TOM_BEDS+CAR_BEDS+MES_BEDS</f>
        <v/>
      </c>
      <c r="C55" t="inlineStr">
        <is>
          <t>beds</t>
        </is>
      </c>
      <c r="D55" t="inlineStr">
        <is>
          <t>Calculated</t>
        </is>
      </c>
    </row>
    <row r="56">
      <c r="A56" t="inlineStr">
        <is>
          <t>BEDS_CHECK</t>
        </is>
      </c>
      <c r="B56">
        <f>IF(TOTAL_BEDS&lt;=TOTAL_BED_CAP,"PASS","FAIL")</f>
        <v/>
      </c>
      <c r="C56" t="inlineStr"/>
      <c r="D56" t="inlineStr">
        <is>
          <t>Constraint check</t>
        </is>
      </c>
    </row>
    <row r="57">
      <c r="A57" t="inlineStr">
        <is>
          <t>TEMP_CHECK</t>
        </is>
      </c>
      <c r="B57">
        <f>IF(TEMP_WORKERS_NEEDED&lt;=TEMP_WORKER_CAP,"PASS","FAIL")</f>
        <v/>
      </c>
      <c r="C57" t="inlineStr"/>
      <c r="D57" t="inlineStr">
        <is>
          <t>Constraint check</t>
        </is>
      </c>
    </row>
    <row r="58">
      <c r="A58" t="inlineStr">
        <is>
          <t>OPT_TOM_BEDS</t>
        </is>
      </c>
      <c r="B58">
        <f>TOM_BEDS</f>
        <v/>
      </c>
      <c r="C58" t="inlineStr">
        <is>
          <t>beds</t>
        </is>
      </c>
      <c r="D58" t="inlineStr">
        <is>
          <t>Output alias</t>
        </is>
      </c>
    </row>
    <row r="59">
      <c r="A59" t="inlineStr">
        <is>
          <t>OPT_CAR_BEDS</t>
        </is>
      </c>
      <c r="B59">
        <f>CAR_BEDS</f>
        <v/>
      </c>
      <c r="C59" t="inlineStr">
        <is>
          <t>beds</t>
        </is>
      </c>
      <c r="D59" t="inlineStr">
        <is>
          <t>Output alias</t>
        </is>
      </c>
    </row>
    <row r="60">
      <c r="A60" t="inlineStr">
        <is>
          <t>OPT_MES_BEDS</t>
        </is>
      </c>
      <c r="B60">
        <f>MES_BEDS</f>
        <v/>
      </c>
      <c r="C60" t="inlineStr">
        <is>
          <t>beds</t>
        </is>
      </c>
      <c r="D60" t="inlineStr">
        <is>
          <t>Output alias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TOM_Q</t>
        </is>
      </c>
      <c r="B1" s="1" t="inlineStr">
        <is>
          <t>TOM_LABOR_HRS</t>
        </is>
      </c>
      <c r="C1" s="1" t="inlineStr">
        <is>
          <t>TOM_TOTAL_COST</t>
        </is>
      </c>
      <c r="D1" s="1" t="inlineStr">
        <is>
          <t>TOM_MC</t>
        </is>
      </c>
      <c r="E1" s="1" t="inlineStr"/>
      <c r="F1" s="1" t="inlineStr">
        <is>
          <t>CAR_Q</t>
        </is>
      </c>
      <c r="G1" s="1" t="inlineStr">
        <is>
          <t>CAR_LABOR_HRS</t>
        </is>
      </c>
      <c r="H1" s="1" t="inlineStr">
        <is>
          <t>CAR_TOTAL_COST</t>
        </is>
      </c>
      <c r="I1" s="1" t="inlineStr">
        <is>
          <t>CAR_MC</t>
        </is>
      </c>
      <c r="J1" s="1" t="inlineStr"/>
      <c r="K1" s="1" t="inlineStr">
        <is>
          <t>MES_Q</t>
        </is>
      </c>
      <c r="L1" s="1" t="inlineStr">
        <is>
          <t>MES_LABOR_HRS</t>
        </is>
      </c>
      <c r="M1" s="1" t="inlineStr">
        <is>
          <t>MES_TOTAL_COST</t>
        </is>
      </c>
      <c r="N1" s="1" t="inlineStr">
        <is>
          <t>MES_MC</t>
        </is>
      </c>
    </row>
    <row r="2">
      <c r="A2" t="n">
        <v>1</v>
      </c>
      <c r="B2">
        <f>A2*TOM_HRS*WEEKS*(1+TOM_DIM_PCT)^A2</f>
        <v/>
      </c>
      <c r="C2">
        <f>MIN(B2,FARMER_HOURS)*FARMER_LABOR_RATE+MAX(B2-FARMER_HOURS,0)*TEMP_LABOR_RATE+A2*TOM_FERTILIZER+FIXED_COSTS</f>
        <v/>
      </c>
      <c r="D2">
        <f>C2-FIXED_COSTS</f>
        <v/>
      </c>
      <c r="F2" t="n">
        <v>1</v>
      </c>
      <c r="G2">
        <f>F2*CAR_HRS*WEEKS*(1+CAR_DIM_PCT)^F2</f>
        <v/>
      </c>
      <c r="H2">
        <f>MIN(G2,FARMER_HOURS)*FARMER_LABOR_RATE+MAX(G2-FARMER_HOURS,0)*TEMP_LABOR_RATE+F2*CAR_FERTILIZER+FIXED_COSTS</f>
        <v/>
      </c>
      <c r="I2">
        <f>H2-FIXED_COSTS</f>
        <v/>
      </c>
      <c r="K2" t="n">
        <v>1</v>
      </c>
      <c r="L2">
        <f>K2*MES_HRS*WEEKS*(1+MES_DIM_PCT)^K2</f>
        <v/>
      </c>
      <c r="M2">
        <f>MIN(L2,FARMER_HOURS)*FARMER_LABOR_RATE+MAX(L2-FARMER_HOURS,0)*TEMP_LABOR_RATE+K2*MES_FERTILIZER+FIXED_COSTS</f>
        <v/>
      </c>
      <c r="N2">
        <f>M2-FIXED_COSTS</f>
        <v/>
      </c>
    </row>
    <row r="3">
      <c r="A3" t="n">
        <v>2</v>
      </c>
      <c r="B3">
        <f>A3*TOM_HRS*WEEKS*(1+TOM_DIM_PCT)^A3</f>
        <v/>
      </c>
      <c r="C3">
        <f>MIN(B3,FARMER_HOURS)*FARMER_LABOR_RATE+MAX(B3-FARMER_HOURS,0)*TEMP_LABOR_RATE+A3*TOM_FERTILIZER+FIXED_COSTS</f>
        <v/>
      </c>
      <c r="D3">
        <f>C3-C2</f>
        <v/>
      </c>
      <c r="F3" t="n">
        <v>2</v>
      </c>
      <c r="G3">
        <f>F3*CAR_HRS*WEEKS*(1+CAR_DIM_PCT)^F3</f>
        <v/>
      </c>
      <c r="H3">
        <f>MIN(G3,FARMER_HOURS)*FARMER_LABOR_RATE+MAX(G3-FARMER_HOURS,0)*TEMP_LABOR_RATE+F3*CAR_FERTILIZER+FIXED_COSTS</f>
        <v/>
      </c>
      <c r="I3">
        <f>H3-H2</f>
        <v/>
      </c>
      <c r="K3" t="n">
        <v>2</v>
      </c>
      <c r="L3">
        <f>K3*MES_HRS*WEEKS*(1+MES_DIM_PCT)^K3</f>
        <v/>
      </c>
      <c r="M3">
        <f>MIN(L3,FARMER_HOURS)*FARMER_LABOR_RATE+MAX(L3-FARMER_HOURS,0)*TEMP_LABOR_RATE+K3*MES_FERTILIZER+FIXED_COSTS</f>
        <v/>
      </c>
      <c r="N3">
        <f>M3-M2</f>
        <v/>
      </c>
    </row>
    <row r="4">
      <c r="A4" t="n">
        <v>3</v>
      </c>
      <c r="B4">
        <f>A4*TOM_HRS*WEEKS*(1+TOM_DIM_PCT)^A4</f>
        <v/>
      </c>
      <c r="C4">
        <f>MIN(B4,FARMER_HOURS)*FARMER_LABOR_RATE+MAX(B4-FARMER_HOURS,0)*TEMP_LABOR_RATE+A4*TOM_FERTILIZER+FIXED_COSTS</f>
        <v/>
      </c>
      <c r="D4">
        <f>C4-C3</f>
        <v/>
      </c>
      <c r="F4" t="n">
        <v>3</v>
      </c>
      <c r="G4">
        <f>F4*CAR_HRS*WEEKS*(1+CAR_DIM_PCT)^F4</f>
        <v/>
      </c>
      <c r="H4">
        <f>MIN(G4,FARMER_HOURS)*FARMER_LABOR_RATE+MAX(G4-FARMER_HOURS,0)*TEMP_LABOR_RATE+F4*CAR_FERTILIZER+FIXED_COSTS</f>
        <v/>
      </c>
      <c r="I4">
        <f>H4-H3</f>
        <v/>
      </c>
      <c r="K4" t="n">
        <v>3</v>
      </c>
      <c r="L4">
        <f>K4*MES_HRS*WEEKS*(1+MES_DIM_PCT)^K4</f>
        <v/>
      </c>
      <c r="M4">
        <f>MIN(L4,FARMER_HOURS)*FARMER_LABOR_RATE+MAX(L4-FARMER_HOURS,0)*TEMP_LABOR_RATE+K4*MES_FERTILIZER+FIXED_COSTS</f>
        <v/>
      </c>
      <c r="N4">
        <f>M4-M3</f>
        <v/>
      </c>
    </row>
    <row r="5">
      <c r="A5" t="n">
        <v>4</v>
      </c>
      <c r="B5">
        <f>A5*TOM_HRS*WEEKS*(1+TOM_DIM_PCT)^A5</f>
        <v/>
      </c>
      <c r="C5">
        <f>MIN(B5,FARMER_HOURS)*FARMER_LABOR_RATE+MAX(B5-FARMER_HOURS,0)*TEMP_LABOR_RATE+A5*TOM_FERTILIZER+FIXED_COSTS</f>
        <v/>
      </c>
      <c r="D5">
        <f>C5-C4</f>
        <v/>
      </c>
      <c r="F5" t="n">
        <v>4</v>
      </c>
      <c r="G5">
        <f>F5*CAR_HRS*WEEKS*(1+CAR_DIM_PCT)^F5</f>
        <v/>
      </c>
      <c r="H5">
        <f>MIN(G5,FARMER_HOURS)*FARMER_LABOR_RATE+MAX(G5-FARMER_HOURS,0)*TEMP_LABOR_RATE+F5*CAR_FERTILIZER+FIXED_COSTS</f>
        <v/>
      </c>
      <c r="I5">
        <f>H5-H4</f>
        <v/>
      </c>
      <c r="K5" t="n">
        <v>4</v>
      </c>
      <c r="L5">
        <f>K5*MES_HRS*WEEKS*(1+MES_DIM_PCT)^K5</f>
        <v/>
      </c>
      <c r="M5">
        <f>MIN(L5,FARMER_HOURS)*FARMER_LABOR_RATE+MAX(L5-FARMER_HOURS,0)*TEMP_LABOR_RATE+K5*MES_FERTILIZER+FIXED_COSTS</f>
        <v/>
      </c>
      <c r="N5">
        <f>M5-M4</f>
        <v/>
      </c>
    </row>
    <row r="6">
      <c r="A6" t="n">
        <v>5</v>
      </c>
      <c r="B6">
        <f>A6*TOM_HRS*WEEKS*(1+TOM_DIM_PCT)^A6</f>
        <v/>
      </c>
      <c r="C6">
        <f>MIN(B6,FARMER_HOURS)*FARMER_LABOR_RATE+MAX(B6-FARMER_HOURS,0)*TEMP_LABOR_RATE+A6*TOM_FERTILIZER+FIXED_COSTS</f>
        <v/>
      </c>
      <c r="D6">
        <f>C6-C5</f>
        <v/>
      </c>
      <c r="F6" t="n">
        <v>5</v>
      </c>
      <c r="G6">
        <f>F6*CAR_HRS*WEEKS*(1+CAR_DIM_PCT)^F6</f>
        <v/>
      </c>
      <c r="H6">
        <f>MIN(G6,FARMER_HOURS)*FARMER_LABOR_RATE+MAX(G6-FARMER_HOURS,0)*TEMP_LABOR_RATE+F6*CAR_FERTILIZER+FIXED_COSTS</f>
        <v/>
      </c>
      <c r="I6">
        <f>H6-H5</f>
        <v/>
      </c>
      <c r="K6" t="n">
        <v>5</v>
      </c>
      <c r="L6">
        <f>K6*MES_HRS*WEEKS*(1+MES_DIM_PCT)^K6</f>
        <v/>
      </c>
      <c r="M6">
        <f>MIN(L6,FARMER_HOURS)*FARMER_LABOR_RATE+MAX(L6-FARMER_HOURS,0)*TEMP_LABOR_RATE+K6*MES_FERTILIZER+FIXED_COSTS</f>
        <v/>
      </c>
      <c r="N6">
        <f>M6-M5</f>
        <v/>
      </c>
    </row>
    <row r="7">
      <c r="A7" t="n">
        <v>6</v>
      </c>
      <c r="B7">
        <f>A7*TOM_HRS*WEEKS*(1+TOM_DIM_PCT)^A7</f>
        <v/>
      </c>
      <c r="C7">
        <f>MIN(B7,FARMER_HOURS)*FARMER_LABOR_RATE+MAX(B7-FARMER_HOURS,0)*TEMP_LABOR_RATE+A7*TOM_FERTILIZER+FIXED_COSTS</f>
        <v/>
      </c>
      <c r="D7">
        <f>C7-C6</f>
        <v/>
      </c>
      <c r="F7" t="n">
        <v>6</v>
      </c>
      <c r="G7">
        <f>F7*CAR_HRS*WEEKS*(1+CAR_DIM_PCT)^F7</f>
        <v/>
      </c>
      <c r="H7">
        <f>MIN(G7,FARMER_HOURS)*FARMER_LABOR_RATE+MAX(G7-FARMER_HOURS,0)*TEMP_LABOR_RATE+F7*CAR_FERTILIZER+FIXED_COSTS</f>
        <v/>
      </c>
      <c r="I7">
        <f>H7-H6</f>
        <v/>
      </c>
      <c r="K7" t="n">
        <v>6</v>
      </c>
      <c r="L7">
        <f>K7*MES_HRS*WEEKS*(1+MES_DIM_PCT)^K7</f>
        <v/>
      </c>
      <c r="M7">
        <f>MIN(L7,FARMER_HOURS)*FARMER_LABOR_RATE+MAX(L7-FARMER_HOURS,0)*TEMP_LABOR_RATE+K7*MES_FERTILIZER+FIXED_COSTS</f>
        <v/>
      </c>
      <c r="N7">
        <f>M7-M6</f>
        <v/>
      </c>
    </row>
    <row r="8">
      <c r="A8" t="n">
        <v>7</v>
      </c>
      <c r="B8">
        <f>A8*TOM_HRS*WEEKS*(1+TOM_DIM_PCT)^A8</f>
        <v/>
      </c>
      <c r="C8">
        <f>MIN(B8,FARMER_HOURS)*FARMER_LABOR_RATE+MAX(B8-FARMER_HOURS,0)*TEMP_LABOR_RATE+A8*TOM_FERTILIZER+FIXED_COSTS</f>
        <v/>
      </c>
      <c r="D8">
        <f>C8-C7</f>
        <v/>
      </c>
      <c r="F8" t="n">
        <v>7</v>
      </c>
      <c r="G8">
        <f>F8*CAR_HRS*WEEKS*(1+CAR_DIM_PCT)^F8</f>
        <v/>
      </c>
      <c r="H8">
        <f>MIN(G8,FARMER_HOURS)*FARMER_LABOR_RATE+MAX(G8-FARMER_HOURS,0)*TEMP_LABOR_RATE+F8*CAR_FERTILIZER+FIXED_COSTS</f>
        <v/>
      </c>
      <c r="I8">
        <f>H8-H7</f>
        <v/>
      </c>
      <c r="K8" t="n">
        <v>7</v>
      </c>
      <c r="L8">
        <f>K8*MES_HRS*WEEKS*(1+MES_DIM_PCT)^K8</f>
        <v/>
      </c>
      <c r="M8">
        <f>MIN(L8,FARMER_HOURS)*FARMER_LABOR_RATE+MAX(L8-FARMER_HOURS,0)*TEMP_LABOR_RATE+K8*MES_FERTILIZER+FIXED_COSTS</f>
        <v/>
      </c>
      <c r="N8">
        <f>M8-M7</f>
        <v/>
      </c>
    </row>
    <row r="9">
      <c r="A9" t="n">
        <v>8</v>
      </c>
      <c r="B9">
        <f>A9*TOM_HRS*WEEKS*(1+TOM_DIM_PCT)^A9</f>
        <v/>
      </c>
      <c r="C9">
        <f>MIN(B9,FARMER_HOURS)*FARMER_LABOR_RATE+MAX(B9-FARMER_HOURS,0)*TEMP_LABOR_RATE+A9*TOM_FERTILIZER+FIXED_COSTS</f>
        <v/>
      </c>
      <c r="D9">
        <f>C9-C8</f>
        <v/>
      </c>
      <c r="F9" t="n">
        <v>8</v>
      </c>
      <c r="G9">
        <f>F9*CAR_HRS*WEEKS*(1+CAR_DIM_PCT)^F9</f>
        <v/>
      </c>
      <c r="H9">
        <f>MIN(G9,FARMER_HOURS)*FARMER_LABOR_RATE+MAX(G9-FARMER_HOURS,0)*TEMP_LABOR_RATE+F9*CAR_FERTILIZER+FIXED_COSTS</f>
        <v/>
      </c>
      <c r="I9">
        <f>H9-H8</f>
        <v/>
      </c>
      <c r="K9" t="n">
        <v>8</v>
      </c>
      <c r="L9">
        <f>K9*MES_HRS*WEEKS*(1+MES_DIM_PCT)^K9</f>
        <v/>
      </c>
      <c r="M9">
        <f>MIN(L9,FARMER_HOURS)*FARMER_LABOR_RATE+MAX(L9-FARMER_HOURS,0)*TEMP_LABOR_RATE+K9*MES_FERTILIZER+FIXED_COSTS</f>
        <v/>
      </c>
      <c r="N9">
        <f>M9-M8</f>
        <v/>
      </c>
    </row>
    <row r="10">
      <c r="A10" t="n">
        <v>9</v>
      </c>
      <c r="B10">
        <f>A10*TOM_HRS*WEEKS*(1+TOM_DIM_PCT)^A10</f>
        <v/>
      </c>
      <c r="C10">
        <f>MIN(B10,FARMER_HOURS)*FARMER_LABOR_RATE+MAX(B10-FARMER_HOURS,0)*TEMP_LABOR_RATE+A10*TOM_FERTILIZER+FIXED_COSTS</f>
        <v/>
      </c>
      <c r="D10">
        <f>C10-C9</f>
        <v/>
      </c>
      <c r="F10" t="n">
        <v>9</v>
      </c>
      <c r="G10">
        <f>F10*CAR_HRS*WEEKS*(1+CAR_DIM_PCT)^F10</f>
        <v/>
      </c>
      <c r="H10">
        <f>MIN(G10,FARMER_HOURS)*FARMER_LABOR_RATE+MAX(G10-FARMER_HOURS,0)*TEMP_LABOR_RATE+F10*CAR_FERTILIZER+FIXED_COSTS</f>
        <v/>
      </c>
      <c r="I10">
        <f>H10-H9</f>
        <v/>
      </c>
      <c r="K10" t="n">
        <v>9</v>
      </c>
      <c r="L10">
        <f>K10*MES_HRS*WEEKS*(1+MES_DIM_PCT)^K10</f>
        <v/>
      </c>
      <c r="M10">
        <f>MIN(L10,FARMER_HOURS)*FARMER_LABOR_RATE+MAX(L10-FARMER_HOURS,0)*TEMP_LABOR_RATE+K10*MES_FERTILIZER+FIXED_COSTS</f>
        <v/>
      </c>
      <c r="N10">
        <f>M10-M9</f>
        <v/>
      </c>
    </row>
    <row r="11">
      <c r="A11" t="n">
        <v>10</v>
      </c>
      <c r="B11">
        <f>A11*TOM_HRS*WEEKS*(1+TOM_DIM_PCT)^A11</f>
        <v/>
      </c>
      <c r="C11">
        <f>MIN(B11,FARMER_HOURS)*FARMER_LABOR_RATE+MAX(B11-FARMER_HOURS,0)*TEMP_LABOR_RATE+A11*TOM_FERTILIZER+FIXED_COSTS</f>
        <v/>
      </c>
      <c r="D11">
        <f>C11-C10</f>
        <v/>
      </c>
      <c r="F11" t="n">
        <v>10</v>
      </c>
      <c r="G11">
        <f>F11*CAR_HRS*WEEKS*(1+CAR_DIM_PCT)^F11</f>
        <v/>
      </c>
      <c r="H11">
        <f>MIN(G11,FARMER_HOURS)*FARMER_LABOR_RATE+MAX(G11-FARMER_HOURS,0)*TEMP_LABOR_RATE+F11*CAR_FERTILIZER+FIXED_COSTS</f>
        <v/>
      </c>
      <c r="I11">
        <f>H11-H10</f>
        <v/>
      </c>
      <c r="K11" t="n">
        <v>10</v>
      </c>
      <c r="L11">
        <f>K11*MES_HRS*WEEKS*(1+MES_DIM_PCT)^K11</f>
        <v/>
      </c>
      <c r="M11">
        <f>MIN(L11,FARMER_HOURS)*FARMER_LABOR_RATE+MAX(L11-FARMER_HOURS,0)*TEMP_LABOR_RATE+K11*MES_FERTILIZER+FIXED_COSTS</f>
        <v/>
      </c>
      <c r="N11">
        <f>M11-M10</f>
        <v/>
      </c>
    </row>
    <row r="12">
      <c r="A12" t="n">
        <v>11</v>
      </c>
      <c r="B12">
        <f>A12*TOM_HRS*WEEKS*(1+TOM_DIM_PCT)^A12</f>
        <v/>
      </c>
      <c r="C12">
        <f>MIN(B12,FARMER_HOURS)*FARMER_LABOR_RATE+MAX(B12-FARMER_HOURS,0)*TEMP_LABOR_RATE+A12*TOM_FERTILIZER+FIXED_COSTS</f>
        <v/>
      </c>
      <c r="D12">
        <f>C12-C11</f>
        <v/>
      </c>
      <c r="F12" t="n">
        <v>11</v>
      </c>
      <c r="G12">
        <f>F12*CAR_HRS*WEEKS*(1+CAR_DIM_PCT)^F12</f>
        <v/>
      </c>
      <c r="H12">
        <f>MIN(G12,FARMER_HOURS)*FARMER_LABOR_RATE+MAX(G12-FARMER_HOURS,0)*TEMP_LABOR_RATE+F12*CAR_FERTILIZER+FIXED_COSTS</f>
        <v/>
      </c>
      <c r="I12">
        <f>H12-H11</f>
        <v/>
      </c>
      <c r="K12" t="n">
        <v>11</v>
      </c>
      <c r="L12">
        <f>K12*MES_HRS*WEEKS*(1+MES_DIM_PCT)^K12</f>
        <v/>
      </c>
      <c r="M12">
        <f>MIN(L12,FARMER_HOURS)*FARMER_LABOR_RATE+MAX(L12-FARMER_HOURS,0)*TEMP_LABOR_RATE+K12*MES_FERTILIZER+FIXED_COSTS</f>
        <v/>
      </c>
      <c r="N12">
        <f>M12-M11</f>
        <v/>
      </c>
    </row>
    <row r="13">
      <c r="A13" t="n">
        <v>12</v>
      </c>
      <c r="B13">
        <f>A13*TOM_HRS*WEEKS*(1+TOM_DIM_PCT)^A13</f>
        <v/>
      </c>
      <c r="C13">
        <f>MIN(B13,FARMER_HOURS)*FARMER_LABOR_RATE+MAX(B13-FARMER_HOURS,0)*TEMP_LABOR_RATE+A13*TOM_FERTILIZER+FIXED_COSTS</f>
        <v/>
      </c>
      <c r="D13">
        <f>C13-C12</f>
        <v/>
      </c>
      <c r="F13" t="n">
        <v>12</v>
      </c>
      <c r="G13">
        <f>F13*CAR_HRS*WEEKS*(1+CAR_DIM_PCT)^F13</f>
        <v/>
      </c>
      <c r="H13">
        <f>MIN(G13,FARMER_HOURS)*FARMER_LABOR_RATE+MAX(G13-FARMER_HOURS,0)*TEMP_LABOR_RATE+F13*CAR_FERTILIZER+FIXED_COSTS</f>
        <v/>
      </c>
      <c r="I13">
        <f>H13-H12</f>
        <v/>
      </c>
      <c r="K13" t="n">
        <v>12</v>
      </c>
      <c r="L13">
        <f>K13*MES_HRS*WEEKS*(1+MES_DIM_PCT)^K13</f>
        <v/>
      </c>
      <c r="M13">
        <f>MIN(L13,FARMER_HOURS)*FARMER_LABOR_RATE+MAX(L13-FARMER_HOURS,0)*TEMP_LABOR_RATE+K13*MES_FERTILIZER+FIXED_COSTS</f>
        <v/>
      </c>
      <c r="N13">
        <f>M13-M12</f>
        <v/>
      </c>
    </row>
    <row r="14">
      <c r="A14" t="n">
        <v>13</v>
      </c>
      <c r="B14">
        <f>A14*TOM_HRS*WEEKS*(1+TOM_DIM_PCT)^A14</f>
        <v/>
      </c>
      <c r="C14">
        <f>MIN(B14,FARMER_HOURS)*FARMER_LABOR_RATE+MAX(B14-FARMER_HOURS,0)*TEMP_LABOR_RATE+A14*TOM_FERTILIZER+FIXED_COSTS</f>
        <v/>
      </c>
      <c r="D14">
        <f>C14-C13</f>
        <v/>
      </c>
      <c r="F14" t="n">
        <v>13</v>
      </c>
      <c r="G14">
        <f>F14*CAR_HRS*WEEKS*(1+CAR_DIM_PCT)^F14</f>
        <v/>
      </c>
      <c r="H14">
        <f>MIN(G14,FARMER_HOURS)*FARMER_LABOR_RATE+MAX(G14-FARMER_HOURS,0)*TEMP_LABOR_RATE+F14*CAR_FERTILIZER+FIXED_COSTS</f>
        <v/>
      </c>
      <c r="I14">
        <f>H14-H13</f>
        <v/>
      </c>
      <c r="K14" t="n">
        <v>13</v>
      </c>
      <c r="L14">
        <f>K14*MES_HRS*WEEKS*(1+MES_DIM_PCT)^K14</f>
        <v/>
      </c>
      <c r="M14">
        <f>MIN(L14,FARMER_HOURS)*FARMER_LABOR_RATE+MAX(L14-FARMER_HOURS,0)*TEMP_LABOR_RATE+K14*MES_FERTILIZER+FIXED_COSTS</f>
        <v/>
      </c>
      <c r="N14">
        <f>M14-M13</f>
        <v/>
      </c>
    </row>
    <row r="15">
      <c r="A15" t="n">
        <v>14</v>
      </c>
      <c r="B15">
        <f>A15*TOM_HRS*WEEKS*(1+TOM_DIM_PCT)^A15</f>
        <v/>
      </c>
      <c r="C15">
        <f>MIN(B15,FARMER_HOURS)*FARMER_LABOR_RATE+MAX(B15-FARMER_HOURS,0)*TEMP_LABOR_RATE+A15*TOM_FERTILIZER+FIXED_COSTS</f>
        <v/>
      </c>
      <c r="D15">
        <f>C15-C14</f>
        <v/>
      </c>
      <c r="F15" t="n">
        <v>14</v>
      </c>
      <c r="G15">
        <f>F15*CAR_HRS*WEEKS*(1+CAR_DIM_PCT)^F15</f>
        <v/>
      </c>
      <c r="H15">
        <f>MIN(G15,FARMER_HOURS)*FARMER_LABOR_RATE+MAX(G15-FARMER_HOURS,0)*TEMP_LABOR_RATE+F15*CAR_FERTILIZER+FIXED_COSTS</f>
        <v/>
      </c>
      <c r="I15">
        <f>H15-H14</f>
        <v/>
      </c>
      <c r="K15" t="n">
        <v>14</v>
      </c>
      <c r="L15">
        <f>K15*MES_HRS*WEEKS*(1+MES_DIM_PCT)^K15</f>
        <v/>
      </c>
      <c r="M15">
        <f>MIN(L15,FARMER_HOURS)*FARMER_LABOR_RATE+MAX(L15-FARMER_HOURS,0)*TEMP_LABOR_RATE+K15*MES_FERTILIZER+FIXED_COSTS</f>
        <v/>
      </c>
      <c r="N15">
        <f>M15-M14</f>
        <v/>
      </c>
    </row>
    <row r="16">
      <c r="F16" t="n">
        <v>15</v>
      </c>
      <c r="G16">
        <f>F16*CAR_HRS*WEEKS*(1+CAR_DIM_PCT)^F16</f>
        <v/>
      </c>
      <c r="H16">
        <f>MIN(G16,FARMER_HOURS)*FARMER_LABOR_RATE+MAX(G16-FARMER_HOURS,0)*TEMP_LABOR_RATE+F16*CAR_FERTILIZER+FIXED_COSTS</f>
        <v/>
      </c>
      <c r="I16">
        <f>H16-H15</f>
        <v/>
      </c>
      <c r="K16" t="n">
        <v>15</v>
      </c>
      <c r="L16">
        <f>K16*MES_HRS*WEEKS*(1+MES_DIM_PCT)^K16</f>
        <v/>
      </c>
      <c r="M16">
        <f>MIN(L16,FARMER_HOURS)*FARMER_LABOR_RATE+MAX(L16-FARMER_HOURS,0)*TEMP_LABOR_RATE+K16*MES_FERTILIZER+FIXED_COSTS</f>
        <v/>
      </c>
      <c r="N16">
        <f>M16-M15</f>
        <v/>
      </c>
    </row>
    <row r="17">
      <c r="F17" t="n">
        <v>16</v>
      </c>
      <c r="G17">
        <f>F17*CAR_HRS*WEEKS*(1+CAR_DIM_PCT)^F17</f>
        <v/>
      </c>
      <c r="H17">
        <f>MIN(G17,FARMER_HOURS)*FARMER_LABOR_RATE+MAX(G17-FARMER_HOURS,0)*TEMP_LABOR_RATE+F17*CAR_FERTILIZER+FIXED_COSTS</f>
        <v/>
      </c>
      <c r="I17">
        <f>H17-H16</f>
        <v/>
      </c>
      <c r="K17" t="n">
        <v>16</v>
      </c>
      <c r="L17">
        <f>K17*MES_HRS*WEEKS*(1+MES_DIM_PCT)^K17</f>
        <v/>
      </c>
      <c r="M17">
        <f>MIN(L17,FARMER_HOURS)*FARMER_LABOR_RATE+MAX(L17-FARMER_HOURS,0)*TEMP_LABOR_RATE+K17*MES_FERTILIZER+FIXED_COSTS</f>
        <v/>
      </c>
      <c r="N17">
        <f>M17-M16</f>
        <v/>
      </c>
    </row>
    <row r="18">
      <c r="F18" t="n">
        <v>17</v>
      </c>
      <c r="G18">
        <f>F18*CAR_HRS*WEEKS*(1+CAR_DIM_PCT)^F18</f>
        <v/>
      </c>
      <c r="H18">
        <f>MIN(G18,FARMER_HOURS)*FARMER_LABOR_RATE+MAX(G18-FARMER_HOURS,0)*TEMP_LABOR_RATE+F18*CAR_FERTILIZER+FIXED_COSTS</f>
        <v/>
      </c>
      <c r="I18">
        <f>H18-H17</f>
        <v/>
      </c>
      <c r="K18" t="n">
        <v>17</v>
      </c>
      <c r="L18">
        <f>K18*MES_HRS*WEEKS*(1+MES_DIM_PCT)^K18</f>
        <v/>
      </c>
      <c r="M18">
        <f>MIN(L18,FARMER_HOURS)*FARMER_LABOR_RATE+MAX(L18-FARMER_HOURS,0)*TEMP_LABOR_RATE+K18*MES_FERTILIZER+FIXED_COSTS</f>
        <v/>
      </c>
      <c r="N18">
        <f>M18-M17</f>
        <v/>
      </c>
    </row>
    <row r="19">
      <c r="F19" t="n">
        <v>18</v>
      </c>
      <c r="G19">
        <f>F19*CAR_HRS*WEEKS*(1+CAR_DIM_PCT)^F19</f>
        <v/>
      </c>
      <c r="H19">
        <f>MIN(G19,FARMER_HOURS)*FARMER_LABOR_RATE+MAX(G19-FARMER_HOURS,0)*TEMP_LABOR_RATE+F19*CAR_FERTILIZER+FIXED_COSTS</f>
        <v/>
      </c>
      <c r="I19">
        <f>H19-H18</f>
        <v/>
      </c>
      <c r="K19" t="n">
        <v>18</v>
      </c>
      <c r="L19">
        <f>K19*MES_HRS*WEEKS*(1+MES_DIM_PCT)^K19</f>
        <v/>
      </c>
      <c r="M19">
        <f>MIN(L19,FARMER_HOURS)*FARMER_LABOR_RATE+MAX(L19-FARMER_HOURS,0)*TEMP_LABOR_RATE+K19*MES_FERTILIZER+FIXED_COSTS</f>
        <v/>
      </c>
      <c r="N19">
        <f>M19-M18</f>
        <v/>
      </c>
    </row>
    <row r="20">
      <c r="F20" t="n">
        <v>19</v>
      </c>
      <c r="G20">
        <f>F20*CAR_HRS*WEEKS*(1+CAR_DIM_PCT)^F20</f>
        <v/>
      </c>
      <c r="H20">
        <f>MIN(G20,FARMER_HOURS)*FARMER_LABOR_RATE+MAX(G20-FARMER_HOURS,0)*TEMP_LABOR_RATE+F20*CAR_FERTILIZER+FIXED_COSTS</f>
        <v/>
      </c>
      <c r="I20">
        <f>H20-H19</f>
        <v/>
      </c>
      <c r="K20" t="n">
        <v>19</v>
      </c>
      <c r="L20">
        <f>K20*MES_HRS*WEEKS*(1+MES_DIM_PCT)^K20</f>
        <v/>
      </c>
      <c r="M20">
        <f>MIN(L20,FARMER_HOURS)*FARMER_LABOR_RATE+MAX(L20-FARMER_HOURS,0)*TEMP_LABOR_RATE+K20*MES_FERTILIZER+FIXED_COSTS</f>
        <v/>
      </c>
      <c r="N20">
        <f>M20-M19</f>
        <v/>
      </c>
    </row>
    <row r="21">
      <c r="F21" t="n">
        <v>20</v>
      </c>
      <c r="G21">
        <f>F21*CAR_HRS*WEEKS*(1+CAR_DIM_PCT)^F21</f>
        <v/>
      </c>
      <c r="H21">
        <f>MIN(G21,FARMER_HOURS)*FARMER_LABOR_RATE+MAX(G21-FARMER_HOURS,0)*TEMP_LABOR_RATE+F21*CAR_FERTILIZER+FIXED_COSTS</f>
        <v/>
      </c>
      <c r="I21">
        <f>H21-H20</f>
        <v/>
      </c>
      <c r="K21" t="n">
        <v>20</v>
      </c>
      <c r="L21">
        <f>K21*MES_HRS*WEEKS*(1+MES_DIM_PCT)^K21</f>
        <v/>
      </c>
      <c r="M21">
        <f>MIN(L21,FARMER_HOURS)*FARMER_LABOR_RATE+MAX(L21-FARMER_HOURS,0)*TEMP_LABOR_RATE+K21*MES_FERTILIZER+FIXED_COSTS</f>
        <v/>
      </c>
      <c r="N21">
        <f>M21-M20</f>
        <v/>
      </c>
    </row>
    <row r="22">
      <c r="K22" t="n">
        <v>21</v>
      </c>
      <c r="L22">
        <f>K22*MES_HRS*WEEKS*(1+MES_DIM_PCT)^K22</f>
        <v/>
      </c>
      <c r="M22">
        <f>MIN(L22,FARMER_HOURS)*FARMER_LABOR_RATE+MAX(L22-FARMER_HOURS,0)*TEMP_LABOR_RATE+K22*MES_FERTILIZER+FIXED_COSTS</f>
        <v/>
      </c>
      <c r="N22">
        <f>M22-M21</f>
        <v/>
      </c>
    </row>
    <row r="23">
      <c r="K23" t="n">
        <v>22</v>
      </c>
      <c r="L23">
        <f>K23*MES_HRS*WEEKS*(1+MES_DIM_PCT)^K23</f>
        <v/>
      </c>
      <c r="M23">
        <f>MIN(L23,FARMER_HOURS)*FARMER_LABOR_RATE+MAX(L23-FARMER_HOURS,0)*TEMP_LABOR_RATE+K23*MES_FERTILIZER+FIXED_COSTS</f>
        <v/>
      </c>
      <c r="N23">
        <f>M23-M22</f>
        <v/>
      </c>
    </row>
    <row r="24">
      <c r="K24" t="n">
        <v>23</v>
      </c>
      <c r="L24">
        <f>K24*MES_HRS*WEEKS*(1+MES_DIM_PCT)^K24</f>
        <v/>
      </c>
      <c r="M24">
        <f>MIN(L24,FARMER_HOURS)*FARMER_LABOR_RATE+MAX(L24-FARMER_HOURS,0)*TEMP_LABOR_RATE+K24*MES_FERTILIZER+FIXED_COSTS</f>
        <v/>
      </c>
      <c r="N24">
        <f>M24-M23</f>
        <v/>
      </c>
    </row>
    <row r="25">
      <c r="K25" t="n">
        <v>24</v>
      </c>
      <c r="L25">
        <f>K25*MES_HRS*WEEKS*(1+MES_DIM_PCT)^K25</f>
        <v/>
      </c>
      <c r="M25">
        <f>MIN(L25,FARMER_HOURS)*FARMER_LABOR_RATE+MAX(L25-FARMER_HOURS,0)*TEMP_LABOR_RATE+K25*MES_FERTILIZER+FIXED_COSTS</f>
        <v/>
      </c>
      <c r="N25">
        <f>M25-M24</f>
        <v/>
      </c>
    </row>
    <row r="26">
      <c r="K26" t="n">
        <v>25</v>
      </c>
      <c r="L26">
        <f>K26*MES_HRS*WEEKS*(1+MES_DIM_PCT)^K26</f>
        <v/>
      </c>
      <c r="M26">
        <f>MIN(L26,FARMER_HOURS)*FARMER_LABOR_RATE+MAX(L26-FARMER_HOURS,0)*TEMP_LABOR_RATE+K26*MES_FERTILIZER+FIXED_COSTS</f>
        <v/>
      </c>
      <c r="N26">
        <f>M26-M25</f>
        <v/>
      </c>
    </row>
    <row r="27">
      <c r="K27" t="n">
        <v>26</v>
      </c>
      <c r="L27">
        <f>K27*MES_HRS*WEEKS*(1+MES_DIM_PCT)^K27</f>
        <v/>
      </c>
      <c r="M27">
        <f>MIN(L27,FARMER_HOURS)*FARMER_LABOR_RATE+MAX(L27-FARMER_HOURS,0)*TEMP_LABOR_RATE+K27*MES_FERTILIZER+FIXED_COSTS</f>
        <v/>
      </c>
      <c r="N27">
        <f>M27-M26</f>
        <v/>
      </c>
    </row>
    <row r="28">
      <c r="K28" t="n">
        <v>27</v>
      </c>
      <c r="L28">
        <f>K28*MES_HRS*WEEKS*(1+MES_DIM_PCT)^K28</f>
        <v/>
      </c>
      <c r="M28">
        <f>MIN(L28,FARMER_HOURS)*FARMER_LABOR_RATE+MAX(L28-FARMER_HOURS,0)*TEMP_LABOR_RATE+K28*MES_FERTILIZER+FIXED_COSTS</f>
        <v/>
      </c>
      <c r="N28">
        <f>M28-M27</f>
        <v/>
      </c>
    </row>
    <row r="29">
      <c r="K29" t="n">
        <v>28</v>
      </c>
      <c r="L29">
        <f>K29*MES_HRS*WEEKS*(1+MES_DIM_PCT)^K29</f>
        <v/>
      </c>
      <c r="M29">
        <f>MIN(L29,FARMER_HOURS)*FARMER_LABOR_RATE+MAX(L29-FARMER_HOURS,0)*TEMP_LABOR_RATE+K29*MES_FERTILIZER+FIXED_COSTS</f>
        <v/>
      </c>
      <c r="N29">
        <f>M29-M28</f>
        <v/>
      </c>
    </row>
    <row r="30">
      <c r="K30" t="n">
        <v>29</v>
      </c>
      <c r="L30">
        <f>K30*MES_HRS*WEEKS*(1+MES_DIM_PCT)^K30</f>
        <v/>
      </c>
      <c r="M30">
        <f>MIN(L30,FARMER_HOURS)*FARMER_LABOR_RATE+MAX(L30-FARMER_HOURS,0)*TEMP_LABOR_RATE+K30*MES_FERTILIZER+FIXED_COSTS</f>
        <v/>
      </c>
      <c r="N30">
        <f>M30-M29</f>
        <v/>
      </c>
    </row>
    <row r="31">
      <c r="K31" t="n">
        <v>30</v>
      </c>
      <c r="L31">
        <f>K31*MES_HRS*WEEKS*(1+MES_DIM_PCT)^K31</f>
        <v/>
      </c>
      <c r="M31">
        <f>MIN(L31,FARMER_HOURS)*FARMER_LABOR_RATE+MAX(L31-FARMER_HOURS,0)*TEMP_LABOR_RATE+K31*MES_FERTILIZER+FIXED_COSTS</f>
        <v/>
      </c>
      <c r="N31">
        <f>M31-M30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Start_TOM</t>
        </is>
      </c>
      <c r="B1" s="1" t="inlineStr">
        <is>
          <t>Start_CAR</t>
        </is>
      </c>
      <c r="C1" s="1" t="inlineStr">
        <is>
          <t>Start_MES</t>
        </is>
      </c>
      <c r="D1" s="1" t="inlineStr">
        <is>
          <t>Return_TOM</t>
        </is>
      </c>
      <c r="E1" s="1" t="inlineStr">
        <is>
          <t>Return_CAR</t>
        </is>
      </c>
      <c r="F1" s="1" t="inlineStr">
        <is>
          <t>Return_MES</t>
        </is>
      </c>
      <c r="G1" s="1" t="inlineStr">
        <is>
          <t>Return_PROFIT</t>
        </is>
      </c>
    </row>
    <row r="2">
      <c r="A2" t="n">
        <v>0</v>
      </c>
      <c r="B2" t="n">
        <v>0</v>
      </c>
      <c r="C2" t="n">
        <v>0</v>
      </c>
      <c r="D2" t="n">
        <v>10</v>
      </c>
      <c r="E2" t="n">
        <v>20</v>
      </c>
      <c r="F2" t="n">
        <v>30</v>
      </c>
      <c r="G2" t="n">
        <v>42829.94036775715</v>
      </c>
    </row>
    <row r="3">
      <c r="A3" t="n">
        <v>20</v>
      </c>
      <c r="B3" t="n">
        <v>0</v>
      </c>
      <c r="C3" t="n">
        <v>0</v>
      </c>
      <c r="D3" t="n">
        <v>10</v>
      </c>
      <c r="E3" t="n">
        <v>20</v>
      </c>
      <c r="F3" t="n">
        <v>30</v>
      </c>
      <c r="G3" t="n">
        <v>42829.94036775715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</t>
        </is>
      </c>
      <c r="B1" s="1" t="inlineStr">
        <is>
          <t>What it would catch</t>
        </is>
      </c>
      <c r="C1" s="1" t="inlineStr">
        <is>
          <t>Result</t>
        </is>
      </c>
      <c r="D1" s="1" t="inlineStr">
        <is>
          <t>Defect and action</t>
        </is>
      </c>
    </row>
    <row r="2">
      <c r="A2" t="inlineStr">
        <is>
          <t>q=1 tomato labor hand calc</t>
        </is>
      </c>
      <c r="B2" t="inlineStr">
        <is>
          <t>Wrong exponent or missing diminishing-return factor</t>
        </is>
      </c>
      <c r="C2" t="inlineStr">
        <is>
          <t>PASS (99 hours at q=1)</t>
        </is>
      </c>
      <c r="D2" t="inlineStr">
        <is>
          <t>No defect in formula implementation</t>
        </is>
      </c>
    </row>
    <row r="3">
      <c r="A3" t="inlineStr">
        <is>
          <t>Constraint checks at optimum</t>
        </is>
      </c>
      <c r="B3" t="inlineStr">
        <is>
          <t>Broken PASS/FAIL logic or hidden constraint violation</t>
        </is>
      </c>
      <c r="C3" t="inlineStr">
        <is>
          <t>PASS (BEDS_CHECK=PASS, TEMP_CHECK=PASS at 10/20/30)</t>
        </is>
      </c>
      <c r="D3" t="inlineStr">
        <is>
          <t>No defect in check formulas</t>
        </is>
      </c>
    </row>
    <row r="4">
      <c r="A4" t="inlineStr">
        <is>
          <t>Dual-start optimization consistency</t>
        </is>
      </c>
      <c r="B4" t="inlineStr">
        <is>
          <t>Path dependence/local optimum risk</t>
        </is>
      </c>
      <c r="C4" t="inlineStr">
        <is>
          <t>PASS (both starts returned 10/20/30)</t>
        </is>
      </c>
      <c r="D4" t="inlineStr">
        <is>
          <t>Recorded both run outputs on SolverRuns sheet</t>
        </is>
      </c>
    </row>
    <row r="5">
      <c r="A5" t="inlineStr">
        <is>
          <t>Input derivation integrity</t>
        </is>
      </c>
      <c r="B5" t="inlineStr">
        <is>
          <t>Stale rounded constants diverging from source assumptions</t>
        </is>
      </c>
      <c r="C5" t="inlineStr">
        <is>
          <t>DEFECT FOUND</t>
        </is>
      </c>
      <c r="D5" t="inlineStr">
        <is>
          <t>Replaced rounded rates/hours with derivation formulas in Model and spec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2026-09-10T06:14:59Z</dcterms:created>
  <dcterms:modified xsi:type="dcterms:W3CDTF">2026-09-10T06:14:59Z</dcterms:modified>
</cp:coreProperties>
</file>