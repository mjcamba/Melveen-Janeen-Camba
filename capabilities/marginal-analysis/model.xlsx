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>
    <definedName name="WEEKS">Model!$B$2</definedName>
    <definedName name="FIXED_COSTS">Model!$B$3</definedName>
    <definedName name="TOTAL_BED_CAP">Model!$B$4</definedName>
    <definedName name="FARMER_HOURS">Model!$B$5</definedName>
    <definedName name="FARMER_SALARY">Model!$B$6</definedName>
    <definedName name="TEMP_WORKER_SALARY">Model!$B$7</definedName>
    <definedName name="TEMP_WORKER_HOURS">Model!$B$8</definedName>
    <definedName name="FARMER_LABOR_RATE">Model!$B$9</definedName>
    <definedName name="TEMP_LABOR_RATE">Model!$B$10</definedName>
    <definedName name="TEMP_WORKER_CAP">Model!$B$11</definedName>
    <definedName name="TOM_PRICE">Model!$B$13</definedName>
    <definedName name="TOM_HRS">Model!$B$14</definedName>
    <definedName name="TOM_FERTILIZER">Model!$B$15</definedName>
    <definedName name="TOM_DIM_PCT">Model!$B$16</definedName>
    <definedName name="TOM_MAX_BEDS">Model!$B$17</definedName>
    <definedName name="CAR_PRICE">Model!$B$19</definedName>
    <definedName name="CAR_HRS">Model!$B$20</definedName>
    <definedName name="CAR_FERTILIZER">Model!$B$21</definedName>
    <definedName name="CAR_DIM_PCT">Model!$B$22</definedName>
    <definedName name="CAR_MAX_BEDS">Model!$B$23</definedName>
    <definedName name="MES_PRICE">Model!$B$25</definedName>
    <definedName name="MES_HRS">Model!$B$26</definedName>
    <definedName name="MES_FERTILIZER">Model!$B$27</definedName>
    <definedName name="MES_DIM_PCT">Model!$B$28</definedName>
    <definedName name="MES_MAX_BEDS">Model!$B$29</definedName>
    <definedName name="TOM_BEDS">Model!$B$32</definedName>
    <definedName name="CAR_BEDS">Model!$B$33</definedName>
    <definedName name="MES_BEDS">Model!$B$34</definedName>
    <definedName name="TOM_LABOR_HOURS">Model!$B$36</definedName>
    <definedName name="CAR_LABOR_HOURS">Model!$B$37</definedName>
    <definedName name="MES_LABOR_HOURS">Model!$B$38</definedName>
    <definedName name="TOTAL_LABOR_HOURS">Model!$B$39</definedName>
    <definedName name="PERM_HRS_USED">Model!$B$40</definedName>
    <definedName name="TEMP_HRS">Model!$B$41</definedName>
    <definedName name="TEMP_WORKERS_NEEDED">Model!$B$42</definedName>
    <definedName name="TOM_REVENUE">Model!$B$44</definedName>
    <definedName name="CAR_REVENUE">Model!$B$45</definedName>
    <definedName name="MES_REVENUE">Model!$B$46</definedName>
    <definedName name="TOTAL_REVENUE">Model!$B$47</definedName>
    <definedName name="TOM_FERT_COST">Model!$B$49</definedName>
    <definedName name="CAR_FERT_COST">Model!$B$50</definedName>
    <definedName name="MES_FERT_COST">Model!$B$51</definedName>
    <definedName name="TOTAL_FERTILIZER_COST">Model!$B$52</definedName>
    <definedName name="LABOR_COST">Model!$B$54</definedName>
    <definedName name="BLENDED_RATE">Model!$B$55</definedName>
    <definedName name="TOM_LABOR_COST">Model!$B$56</definedName>
    <definedName name="CAR_LABOR_COST">Model!$B$57</definedName>
    <definedName name="MES_LABOR_COST">Model!$B$58</definedName>
    <definedName name="TOTAL_COST">Model!$B$60</definedName>
    <definedName name="PROFIT">Model!$B$61</definedName>
    <definedName name="SEASON_PROFIT">Model!$B$62</definedName>
    <definedName name="TOTAL_BEDS">Model!$B$63</definedName>
    <definedName name="BEDS_CHECK">Model!$B$64</definedName>
    <definedName name="TEMP_CHECK">Model!$B$65</definedName>
    <definedName name="OPT_TOM_BEDS">Model!$B$71</definedName>
    <definedName name="OPT_CAR_BEDS">Model!$B$72</definedName>
    <definedName name="OPT_MES_BEDS">Model!$B$73</definedName>
    <definedName name="TOM_MC_SCHEDULE">Model!$F$3:$F$16</definedName>
    <definedName name="CAR_MC_SCHEDULE">Model!$J$3:$J$22</definedName>
    <definedName name="MES_MC_SCHEDULE">Model!$N$3:$N$32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4" max="4"/>
    <col width="18" customWidth="1" min="5" max="5"/>
    <col width="14" customWidth="1" min="6" max="6"/>
    <col width="10" customWidth="1" min="8" max="8"/>
    <col width="18" customWidth="1" min="9" max="9"/>
    <col width="14" customWidth="1" min="10" max="10"/>
    <col width="10" customWidth="1" min="12" max="12"/>
    <col width="18" customWidth="1" min="13" max="13"/>
    <col width="14" customWidth="1" min="14" max="14"/>
  </cols>
  <sheetData>
    <row r="1">
      <c r="A1" s="1" t="inlineStr">
        <is>
          <t>Farm Marginal Analysis Model</t>
        </is>
      </c>
      <c r="D1" s="1" t="inlineStr">
        <is>
          <t>Tomato q</t>
        </is>
      </c>
      <c r="E1" s="1" t="inlineStr">
        <is>
          <t>Tomato Total Cost(q)</t>
        </is>
      </c>
      <c r="F1" s="1" t="inlineStr">
        <is>
          <t>Tomato MC(q)</t>
        </is>
      </c>
      <c r="H1" s="1" t="inlineStr">
        <is>
          <t>Carrot q</t>
        </is>
      </c>
      <c r="I1" s="1" t="inlineStr">
        <is>
          <t>Carrot Total Cost(q)</t>
        </is>
      </c>
      <c r="J1" s="1" t="inlineStr">
        <is>
          <t>Carrot MC(q)</t>
        </is>
      </c>
      <c r="L1" s="1" t="inlineStr">
        <is>
          <t>Mesclun q</t>
        </is>
      </c>
      <c r="M1" s="1" t="inlineStr">
        <is>
          <t>Mesclun Total Cost(q)</t>
        </is>
      </c>
      <c r="N1" s="1" t="inlineStr">
        <is>
          <t>Mesclun MC(q)</t>
        </is>
      </c>
    </row>
    <row r="2">
      <c r="A2" t="inlineStr">
        <is>
          <t>WEEKS</t>
        </is>
      </c>
      <c r="B2" t="n">
        <v>36</v>
      </c>
      <c r="D2" t="n">
        <v>0</v>
      </c>
      <c r="E2">
        <f>FIXED_COSTS</f>
        <v/>
      </c>
      <c r="H2" t="n">
        <v>0</v>
      </c>
      <c r="I2">
        <f>FIXED_COSTS</f>
        <v/>
      </c>
      <c r="L2" t="n">
        <v>0</v>
      </c>
      <c r="M2">
        <f>FIXED_COSTS</f>
        <v/>
      </c>
    </row>
    <row r="3">
      <c r="A3" t="inlineStr">
        <is>
          <t>FIXED_COSTS</t>
        </is>
      </c>
      <c r="B3" s="2" t="n">
        <v>20000</v>
      </c>
      <c r="D3" t="n">
        <v>1</v>
      </c>
      <c r="E3">
        <f>FIXED_COSTS+D3*TOM_FERTILIZER+MIN(D3*TOM_HRS*WEEKS*(1+TOM_DIM_PCT)^D3,FARMER_HOURS)*FARMER_LABOR_RATE+MAX(D3*TOM_HRS*WEEKS*(1+TOM_DIM_PCT)^D3-FARMER_HOURS,0)*TEMP_LABOR_RATE</f>
        <v/>
      </c>
      <c r="F3">
        <f>E3-E2</f>
        <v/>
      </c>
      <c r="H3" t="n">
        <v>1</v>
      </c>
      <c r="I3">
        <f>FIXED_COSTS+H3*CAR_FERTILIZER+MIN(H3*CAR_HRS*WEEKS*(1+CAR_DIM_PCT)^H3,FARMER_HOURS)*FARMER_LABOR_RATE+MAX(H3*CAR_HRS*WEEKS*(1+CAR_DIM_PCT)^H3-FARMER_HOURS,0)*TEMP_LABOR_RATE</f>
        <v/>
      </c>
      <c r="J3">
        <f>I3-I2</f>
        <v/>
      </c>
      <c r="L3" t="n">
        <v>1</v>
      </c>
      <c r="M3">
        <f>FIXED_COSTS+L3*MES_FERTILIZER+MIN(L3*MES_HRS*WEEKS*(1+MES_DIM_PCT)^L3,FARMER_HOURS)*FARMER_LABOR_RATE+MAX(L3*MES_HRS*WEEKS*(1+MES_DIM_PCT)^L3-FARMER_HOURS,0)*TEMP_LABOR_RATE</f>
        <v/>
      </c>
      <c r="N3">
        <f>M3-M2</f>
        <v/>
      </c>
    </row>
    <row r="4">
      <c r="A4" t="inlineStr">
        <is>
          <t>TOTAL_BED_CAP</t>
        </is>
      </c>
      <c r="B4" t="n">
        <v>64</v>
      </c>
      <c r="D4" t="n">
        <v>2</v>
      </c>
      <c r="E4">
        <f>FIXED_COSTS+D4*TOM_FERTILIZER+MIN(D4*TOM_HRS*WEEKS*(1+TOM_DIM_PCT)^D4,FARMER_HOURS)*FARMER_LABOR_RATE+MAX(D4*TOM_HRS*WEEKS*(1+TOM_DIM_PCT)^D4-FARMER_HOURS,0)*TEMP_LABOR_RATE</f>
        <v/>
      </c>
      <c r="F4">
        <f>E4-E3</f>
        <v/>
      </c>
      <c r="H4" t="n">
        <v>2</v>
      </c>
      <c r="I4">
        <f>FIXED_COSTS+H4*CAR_FERTILIZER+MIN(H4*CAR_HRS*WEEKS*(1+CAR_DIM_PCT)^H4,FARMER_HOURS)*FARMER_LABOR_RATE+MAX(H4*CAR_HRS*WEEKS*(1+CAR_DIM_PCT)^H4-FARMER_HOURS,0)*TEMP_LABOR_RATE</f>
        <v/>
      </c>
      <c r="J4">
        <f>I4-I3</f>
        <v/>
      </c>
      <c r="L4" t="n">
        <v>2</v>
      </c>
      <c r="M4">
        <f>FIXED_COSTS+L4*MES_FERTILIZER+MIN(L4*MES_HRS*WEEKS*(1+MES_DIM_PCT)^L4,FARMER_HOURS)*FARMER_LABOR_RATE+MAX(L4*MES_HRS*WEEKS*(1+MES_DIM_PCT)^L4-FARMER_HOURS,0)*TEMP_LABOR_RATE</f>
        <v/>
      </c>
      <c r="N4">
        <f>M4-M3</f>
        <v/>
      </c>
    </row>
    <row r="5">
      <c r="A5" t="inlineStr">
        <is>
          <t>FARMER_HOURS</t>
        </is>
      </c>
      <c r="B5" t="n">
        <v>720</v>
      </c>
      <c r="D5" t="n">
        <v>3</v>
      </c>
      <c r="E5">
        <f>FIXED_COSTS+D5*TOM_FERTILIZER+MIN(D5*TOM_HRS*WEEKS*(1+TOM_DIM_PCT)^D5,FARMER_HOURS)*FARMER_LABOR_RATE+MAX(D5*TOM_HRS*WEEKS*(1+TOM_DIM_PCT)^D5-FARMER_HOURS,0)*TEMP_LABOR_RATE</f>
        <v/>
      </c>
      <c r="F5">
        <f>E5-E4</f>
        <v/>
      </c>
      <c r="H5" t="n">
        <v>3</v>
      </c>
      <c r="I5">
        <f>FIXED_COSTS+H5*CAR_FERTILIZER+MIN(H5*CAR_HRS*WEEKS*(1+CAR_DIM_PCT)^H5,FARMER_HOURS)*FARMER_LABOR_RATE+MAX(H5*CAR_HRS*WEEKS*(1+CAR_DIM_PCT)^H5-FARMER_HOURS,0)*TEMP_LABOR_RATE</f>
        <v/>
      </c>
      <c r="J5">
        <f>I5-I4</f>
        <v/>
      </c>
      <c r="L5" t="n">
        <v>3</v>
      </c>
      <c r="M5">
        <f>FIXED_COSTS+L5*MES_FERTILIZER+MIN(L5*MES_HRS*WEEKS*(1+MES_DIM_PCT)^L5,FARMER_HOURS)*FARMER_LABOR_RATE+MAX(L5*MES_HRS*WEEKS*(1+MES_DIM_PCT)^L5-FARMER_HOURS,0)*TEMP_LABOR_RATE</f>
        <v/>
      </c>
      <c r="N5">
        <f>M5-M4</f>
        <v/>
      </c>
    </row>
    <row r="6">
      <c r="A6" t="inlineStr">
        <is>
          <t>FARMER_SALARY</t>
        </is>
      </c>
      <c r="B6" s="2" t="n">
        <v>50000</v>
      </c>
      <c r="D6" t="n">
        <v>4</v>
      </c>
      <c r="E6">
        <f>FIXED_COSTS+D6*TOM_FERTILIZER+MIN(D6*TOM_HRS*WEEKS*(1+TOM_DIM_PCT)^D6,FARMER_HOURS)*FARMER_LABOR_RATE+MAX(D6*TOM_HRS*WEEKS*(1+TOM_DIM_PCT)^D6-FARMER_HOURS,0)*TEMP_LABOR_RATE</f>
        <v/>
      </c>
      <c r="F6">
        <f>E6-E5</f>
        <v/>
      </c>
      <c r="H6" t="n">
        <v>4</v>
      </c>
      <c r="I6">
        <f>FIXED_COSTS+H6*CAR_FERTILIZER+MIN(H6*CAR_HRS*WEEKS*(1+CAR_DIM_PCT)^H6,FARMER_HOURS)*FARMER_LABOR_RATE+MAX(H6*CAR_HRS*WEEKS*(1+CAR_DIM_PCT)^H6-FARMER_HOURS,0)*TEMP_LABOR_RATE</f>
        <v/>
      </c>
      <c r="J6">
        <f>I6-I5</f>
        <v/>
      </c>
      <c r="L6" t="n">
        <v>4</v>
      </c>
      <c r="M6">
        <f>FIXED_COSTS+L6*MES_FERTILIZER+MIN(L6*MES_HRS*WEEKS*(1+MES_DIM_PCT)^L6,FARMER_HOURS)*FARMER_LABOR_RATE+MAX(L6*MES_HRS*WEEKS*(1+MES_DIM_PCT)^L6-FARMER_HOURS,0)*TEMP_LABOR_RATE</f>
        <v/>
      </c>
      <c r="N6">
        <f>M6-M5</f>
        <v/>
      </c>
    </row>
    <row r="7">
      <c r="A7" t="inlineStr">
        <is>
          <t>TEMP_WORKER_SALARY</t>
        </is>
      </c>
      <c r="B7" s="2" t="n">
        <v>25000</v>
      </c>
      <c r="D7" t="n">
        <v>5</v>
      </c>
      <c r="E7">
        <f>FIXED_COSTS+D7*TOM_FERTILIZER+MIN(D7*TOM_HRS*WEEKS*(1+TOM_DIM_PCT)^D7,FARMER_HOURS)*FARMER_LABOR_RATE+MAX(D7*TOM_HRS*WEEKS*(1+TOM_DIM_PCT)^D7-FARMER_HOURS,0)*TEMP_LABOR_RATE</f>
        <v/>
      </c>
      <c r="F7">
        <f>E7-E6</f>
        <v/>
      </c>
      <c r="H7" t="n">
        <v>5</v>
      </c>
      <c r="I7">
        <f>FIXED_COSTS+H7*CAR_FERTILIZER+MIN(H7*CAR_HRS*WEEKS*(1+CAR_DIM_PCT)^H7,FARMER_HOURS)*FARMER_LABOR_RATE+MAX(H7*CAR_HRS*WEEKS*(1+CAR_DIM_PCT)^H7-FARMER_HOURS,0)*TEMP_LABOR_RATE</f>
        <v/>
      </c>
      <c r="J7">
        <f>I7-I6</f>
        <v/>
      </c>
      <c r="L7" t="n">
        <v>5</v>
      </c>
      <c r="M7">
        <f>FIXED_COSTS+L7*MES_FERTILIZER+MIN(L7*MES_HRS*WEEKS*(1+MES_DIM_PCT)^L7,FARMER_HOURS)*FARMER_LABOR_RATE+MAX(L7*MES_HRS*WEEKS*(1+MES_DIM_PCT)^L7-FARMER_HOURS,0)*TEMP_LABOR_RATE</f>
        <v/>
      </c>
      <c r="N7">
        <f>M7-M6</f>
        <v/>
      </c>
    </row>
    <row r="8">
      <c r="A8" t="inlineStr">
        <is>
          <t>TEMP_WORKER_HOURS</t>
        </is>
      </c>
      <c r="B8">
        <f>WEEKS*40</f>
        <v/>
      </c>
      <c r="D8" t="n">
        <v>6</v>
      </c>
      <c r="E8">
        <f>FIXED_COSTS+D8*TOM_FERTILIZER+MIN(D8*TOM_HRS*WEEKS*(1+TOM_DIM_PCT)^D8,FARMER_HOURS)*FARMER_LABOR_RATE+MAX(D8*TOM_HRS*WEEKS*(1+TOM_DIM_PCT)^D8-FARMER_HOURS,0)*TEMP_LABOR_RATE</f>
        <v/>
      </c>
      <c r="F8">
        <f>E8-E7</f>
        <v/>
      </c>
      <c r="H8" t="n">
        <v>6</v>
      </c>
      <c r="I8">
        <f>FIXED_COSTS+H8*CAR_FERTILIZER+MIN(H8*CAR_HRS*WEEKS*(1+CAR_DIM_PCT)^H8,FARMER_HOURS)*FARMER_LABOR_RATE+MAX(H8*CAR_HRS*WEEKS*(1+CAR_DIM_PCT)^H8-FARMER_HOURS,0)*TEMP_LABOR_RATE</f>
        <v/>
      </c>
      <c r="J8">
        <f>I8-I7</f>
        <v/>
      </c>
      <c r="L8" t="n">
        <v>6</v>
      </c>
      <c r="M8">
        <f>FIXED_COSTS+L8*MES_FERTILIZER+MIN(L8*MES_HRS*WEEKS*(1+MES_DIM_PCT)^L8,FARMER_HOURS)*FARMER_LABOR_RATE+MAX(L8*MES_HRS*WEEKS*(1+MES_DIM_PCT)^L8-FARMER_HOURS,0)*TEMP_LABOR_RATE</f>
        <v/>
      </c>
      <c r="N8">
        <f>M8-M7</f>
        <v/>
      </c>
    </row>
    <row r="9">
      <c r="A9" t="inlineStr">
        <is>
          <t>FARMER_LABOR_RATE</t>
        </is>
      </c>
      <c r="B9" s="2">
        <f>FARMER_SALARY/TEMP_WORKER_HOURS</f>
        <v/>
      </c>
      <c r="D9" t="n">
        <v>7</v>
      </c>
      <c r="E9">
        <f>FIXED_COSTS+D9*TOM_FERTILIZER+MIN(D9*TOM_HRS*WEEKS*(1+TOM_DIM_PCT)^D9,FARMER_HOURS)*FARMER_LABOR_RATE+MAX(D9*TOM_HRS*WEEKS*(1+TOM_DIM_PCT)^D9-FARMER_HOURS,0)*TEMP_LABOR_RATE</f>
        <v/>
      </c>
      <c r="F9">
        <f>E9-E8</f>
        <v/>
      </c>
      <c r="H9" t="n">
        <v>7</v>
      </c>
      <c r="I9">
        <f>FIXED_COSTS+H9*CAR_FERTILIZER+MIN(H9*CAR_HRS*WEEKS*(1+CAR_DIM_PCT)^H9,FARMER_HOURS)*FARMER_LABOR_RATE+MAX(H9*CAR_HRS*WEEKS*(1+CAR_DIM_PCT)^H9-FARMER_HOURS,0)*TEMP_LABOR_RATE</f>
        <v/>
      </c>
      <c r="J9">
        <f>I9-I8</f>
        <v/>
      </c>
      <c r="L9" t="n">
        <v>7</v>
      </c>
      <c r="M9">
        <f>FIXED_COSTS+L9*MES_FERTILIZER+MIN(L9*MES_HRS*WEEKS*(1+MES_DIM_PCT)^L9,FARMER_HOURS)*FARMER_LABOR_RATE+MAX(L9*MES_HRS*WEEKS*(1+MES_DIM_PCT)^L9-FARMER_HOURS,0)*TEMP_LABOR_RATE</f>
        <v/>
      </c>
      <c r="N9">
        <f>M9-M8</f>
        <v/>
      </c>
    </row>
    <row r="10">
      <c r="A10" t="inlineStr">
        <is>
          <t>TEMP_LABOR_RATE</t>
        </is>
      </c>
      <c r="B10" s="2">
        <f>TEMP_WORKER_SALARY/TEMP_WORKER_HOURS</f>
        <v/>
      </c>
      <c r="D10" t="n">
        <v>8</v>
      </c>
      <c r="E10">
        <f>FIXED_COSTS+D10*TOM_FERTILIZER+MIN(D10*TOM_HRS*WEEKS*(1+TOM_DIM_PCT)^D10,FARMER_HOURS)*FARMER_LABOR_RATE+MAX(D10*TOM_HRS*WEEKS*(1+TOM_DIM_PCT)^D10-FARMER_HOURS,0)*TEMP_LABOR_RATE</f>
        <v/>
      </c>
      <c r="F10">
        <f>E10-E9</f>
        <v/>
      </c>
      <c r="H10" t="n">
        <v>8</v>
      </c>
      <c r="I10">
        <f>FIXED_COSTS+H10*CAR_FERTILIZER+MIN(H10*CAR_HRS*WEEKS*(1+CAR_DIM_PCT)^H10,FARMER_HOURS)*FARMER_LABOR_RATE+MAX(H10*CAR_HRS*WEEKS*(1+CAR_DIM_PCT)^H10-FARMER_HOURS,0)*TEMP_LABOR_RATE</f>
        <v/>
      </c>
      <c r="J10">
        <f>I10-I9</f>
        <v/>
      </c>
      <c r="L10" t="n">
        <v>8</v>
      </c>
      <c r="M10">
        <f>FIXED_COSTS+L10*MES_FERTILIZER+MIN(L10*MES_HRS*WEEKS*(1+MES_DIM_PCT)^L10,FARMER_HOURS)*FARMER_LABOR_RATE+MAX(L10*MES_HRS*WEEKS*(1+MES_DIM_PCT)^L10-FARMER_HOURS,0)*TEMP_LABOR_RATE</f>
        <v/>
      </c>
      <c r="N10">
        <f>M10-M9</f>
        <v/>
      </c>
    </row>
    <row r="11">
      <c r="A11" t="inlineStr">
        <is>
          <t>TEMP_WORKER_CAP</t>
        </is>
      </c>
      <c r="B11" t="n">
        <v>4</v>
      </c>
      <c r="D11" t="n">
        <v>9</v>
      </c>
      <c r="E11">
        <f>FIXED_COSTS+D11*TOM_FERTILIZER+MIN(D11*TOM_HRS*WEEKS*(1+TOM_DIM_PCT)^D11,FARMER_HOURS)*FARMER_LABOR_RATE+MAX(D11*TOM_HRS*WEEKS*(1+TOM_DIM_PCT)^D11-FARMER_HOURS,0)*TEMP_LABOR_RATE</f>
        <v/>
      </c>
      <c r="F11">
        <f>E11-E10</f>
        <v/>
      </c>
      <c r="H11" t="n">
        <v>9</v>
      </c>
      <c r="I11">
        <f>FIXED_COSTS+H11*CAR_FERTILIZER+MIN(H11*CAR_HRS*WEEKS*(1+CAR_DIM_PCT)^H11,FARMER_HOURS)*FARMER_LABOR_RATE+MAX(H11*CAR_HRS*WEEKS*(1+CAR_DIM_PCT)^H11-FARMER_HOURS,0)*TEMP_LABOR_RATE</f>
        <v/>
      </c>
      <c r="J11">
        <f>I11-I10</f>
        <v/>
      </c>
      <c r="L11" t="n">
        <v>9</v>
      </c>
      <c r="M11">
        <f>FIXED_COSTS+L11*MES_FERTILIZER+MIN(L11*MES_HRS*WEEKS*(1+MES_DIM_PCT)^L11,FARMER_HOURS)*FARMER_LABOR_RATE+MAX(L11*MES_HRS*WEEKS*(1+MES_DIM_PCT)^L11-FARMER_HOURS,0)*TEMP_LABOR_RATE</f>
        <v/>
      </c>
      <c r="N11">
        <f>M11-M10</f>
        <v/>
      </c>
    </row>
    <row r="12">
      <c r="D12" t="n">
        <v>10</v>
      </c>
      <c r="E12">
        <f>FIXED_COSTS+D12*TOM_FERTILIZER+MIN(D12*TOM_HRS*WEEKS*(1+TOM_DIM_PCT)^D12,FARMER_HOURS)*FARMER_LABOR_RATE+MAX(D12*TOM_HRS*WEEKS*(1+TOM_DIM_PCT)^D12-FARMER_HOURS,0)*TEMP_LABOR_RATE</f>
        <v/>
      </c>
      <c r="F12">
        <f>E12-E11</f>
        <v/>
      </c>
      <c r="H12" t="n">
        <v>10</v>
      </c>
      <c r="I12">
        <f>FIXED_COSTS+H12*CAR_FERTILIZER+MIN(H12*CAR_HRS*WEEKS*(1+CAR_DIM_PCT)^H12,FARMER_HOURS)*FARMER_LABOR_RATE+MAX(H12*CAR_HRS*WEEKS*(1+CAR_DIM_PCT)^H12-FARMER_HOURS,0)*TEMP_LABOR_RATE</f>
        <v/>
      </c>
      <c r="J12">
        <f>I12-I11</f>
        <v/>
      </c>
      <c r="L12" t="n">
        <v>10</v>
      </c>
      <c r="M12">
        <f>FIXED_COSTS+L12*MES_FERTILIZER+MIN(L12*MES_HRS*WEEKS*(1+MES_DIM_PCT)^L12,FARMER_HOURS)*FARMER_LABOR_RATE+MAX(L12*MES_HRS*WEEKS*(1+MES_DIM_PCT)^L12-FARMER_HOURS,0)*TEMP_LABOR_RATE</f>
        <v/>
      </c>
      <c r="N12">
        <f>M12-M11</f>
        <v/>
      </c>
    </row>
    <row r="13">
      <c r="A13" t="inlineStr">
        <is>
          <t>TOM_PRICE</t>
        </is>
      </c>
      <c r="B13" s="2" t="n">
        <v>8800</v>
      </c>
      <c r="D13" t="n">
        <v>11</v>
      </c>
      <c r="E13">
        <f>FIXED_COSTS+D13*TOM_FERTILIZER+MIN(D13*TOM_HRS*WEEKS*(1+TOM_DIM_PCT)^D13,FARMER_HOURS)*FARMER_LABOR_RATE+MAX(D13*TOM_HRS*WEEKS*(1+TOM_DIM_PCT)^D13-FARMER_HOURS,0)*TEMP_LABOR_RATE</f>
        <v/>
      </c>
      <c r="F13">
        <f>E13-E12</f>
        <v/>
      </c>
      <c r="H13" t="n">
        <v>11</v>
      </c>
      <c r="I13">
        <f>FIXED_COSTS+H13*CAR_FERTILIZER+MIN(H13*CAR_HRS*WEEKS*(1+CAR_DIM_PCT)^H13,FARMER_HOURS)*FARMER_LABOR_RATE+MAX(H13*CAR_HRS*WEEKS*(1+CAR_DIM_PCT)^H13-FARMER_HOURS,0)*TEMP_LABOR_RATE</f>
        <v/>
      </c>
      <c r="J13">
        <f>I13-I12</f>
        <v/>
      </c>
      <c r="L13" t="n">
        <v>11</v>
      </c>
      <c r="M13">
        <f>FIXED_COSTS+L13*MES_FERTILIZER+MIN(L13*MES_HRS*WEEKS*(1+MES_DIM_PCT)^L13,FARMER_HOURS)*FARMER_LABOR_RATE+MAX(L13*MES_HRS*WEEKS*(1+MES_DIM_PCT)^L13-FARMER_HOURS,0)*TEMP_LABOR_RATE</f>
        <v/>
      </c>
      <c r="N13">
        <f>M13-M12</f>
        <v/>
      </c>
    </row>
    <row r="14">
      <c r="A14" t="inlineStr">
        <is>
          <t>TOM_HRS</t>
        </is>
      </c>
      <c r="B14" t="n">
        <v>2.5</v>
      </c>
      <c r="D14" t="n">
        <v>12</v>
      </c>
      <c r="E14">
        <f>FIXED_COSTS+D14*TOM_FERTILIZER+MIN(D14*TOM_HRS*WEEKS*(1+TOM_DIM_PCT)^D14,FARMER_HOURS)*FARMER_LABOR_RATE+MAX(D14*TOM_HRS*WEEKS*(1+TOM_DIM_PCT)^D14-FARMER_HOURS,0)*TEMP_LABOR_RATE</f>
        <v/>
      </c>
      <c r="F14">
        <f>E14-E13</f>
        <v/>
      </c>
      <c r="H14" t="n">
        <v>12</v>
      </c>
      <c r="I14">
        <f>FIXED_COSTS+H14*CAR_FERTILIZER+MIN(H14*CAR_HRS*WEEKS*(1+CAR_DIM_PCT)^H14,FARMER_HOURS)*FARMER_LABOR_RATE+MAX(H14*CAR_HRS*WEEKS*(1+CAR_DIM_PCT)^H14-FARMER_HOURS,0)*TEMP_LABOR_RATE</f>
        <v/>
      </c>
      <c r="J14">
        <f>I14-I13</f>
        <v/>
      </c>
      <c r="L14" t="n">
        <v>12</v>
      </c>
      <c r="M14">
        <f>FIXED_COSTS+L14*MES_FERTILIZER+MIN(L14*MES_HRS*WEEKS*(1+MES_DIM_PCT)^L14,FARMER_HOURS)*FARMER_LABOR_RATE+MAX(L14*MES_HRS*WEEKS*(1+MES_DIM_PCT)^L14-FARMER_HOURS,0)*TEMP_LABOR_RATE</f>
        <v/>
      </c>
      <c r="N14">
        <f>M14-M13</f>
        <v/>
      </c>
    </row>
    <row r="15">
      <c r="A15" t="inlineStr">
        <is>
          <t>TOM_FERTILIZER</t>
        </is>
      </c>
      <c r="B15" s="2" t="n">
        <v>880</v>
      </c>
      <c r="D15" t="n">
        <v>13</v>
      </c>
      <c r="E15">
        <f>FIXED_COSTS+D15*TOM_FERTILIZER+MIN(D15*TOM_HRS*WEEKS*(1+TOM_DIM_PCT)^D15,FARMER_HOURS)*FARMER_LABOR_RATE+MAX(D15*TOM_HRS*WEEKS*(1+TOM_DIM_PCT)^D15-FARMER_HOURS,0)*TEMP_LABOR_RATE</f>
        <v/>
      </c>
      <c r="F15">
        <f>E15-E14</f>
        <v/>
      </c>
      <c r="H15" t="n">
        <v>13</v>
      </c>
      <c r="I15">
        <f>FIXED_COSTS+H15*CAR_FERTILIZER+MIN(H15*CAR_HRS*WEEKS*(1+CAR_DIM_PCT)^H15,FARMER_HOURS)*FARMER_LABOR_RATE+MAX(H15*CAR_HRS*WEEKS*(1+CAR_DIM_PCT)^H15-FARMER_HOURS,0)*TEMP_LABOR_RATE</f>
        <v/>
      </c>
      <c r="J15">
        <f>I15-I14</f>
        <v/>
      </c>
      <c r="L15" t="n">
        <v>13</v>
      </c>
      <c r="M15">
        <f>FIXED_COSTS+L15*MES_FERTILIZER+MIN(L15*MES_HRS*WEEKS*(1+MES_DIM_PCT)^L15,FARMER_HOURS)*FARMER_LABOR_RATE+MAX(L15*MES_HRS*WEEKS*(1+MES_DIM_PCT)^L15-FARMER_HOURS,0)*TEMP_LABOR_RATE</f>
        <v/>
      </c>
      <c r="N15">
        <f>M15-M14</f>
        <v/>
      </c>
    </row>
    <row r="16">
      <c r="A16" t="inlineStr">
        <is>
          <t>TOM_DIM_PCT</t>
        </is>
      </c>
      <c r="B16" s="3" t="n">
        <v>0.1</v>
      </c>
      <c r="D16" t="n">
        <v>14</v>
      </c>
      <c r="E16">
        <f>FIXED_COSTS+D16*TOM_FERTILIZER+MIN(D16*TOM_HRS*WEEKS*(1+TOM_DIM_PCT)^D16,FARMER_HOURS)*FARMER_LABOR_RATE+MAX(D16*TOM_HRS*WEEKS*(1+TOM_DIM_PCT)^D16-FARMER_HOURS,0)*TEMP_LABOR_RATE</f>
        <v/>
      </c>
      <c r="F16">
        <f>E16-E15</f>
        <v/>
      </c>
      <c r="H16" t="n">
        <v>14</v>
      </c>
      <c r="I16">
        <f>FIXED_COSTS+H16*CAR_FERTILIZER+MIN(H16*CAR_HRS*WEEKS*(1+CAR_DIM_PCT)^H16,FARMER_HOURS)*FARMER_LABOR_RATE+MAX(H16*CAR_HRS*WEEKS*(1+CAR_DIM_PCT)^H16-FARMER_HOURS,0)*TEMP_LABOR_RATE</f>
        <v/>
      </c>
      <c r="J16">
        <f>I16-I15</f>
        <v/>
      </c>
      <c r="L16" t="n">
        <v>14</v>
      </c>
      <c r="M16">
        <f>FIXED_COSTS+L16*MES_FERTILIZER+MIN(L16*MES_HRS*WEEKS*(1+MES_DIM_PCT)^L16,FARMER_HOURS)*FARMER_LABOR_RATE+MAX(L16*MES_HRS*WEEKS*(1+MES_DIM_PCT)^L16-FARMER_HOURS,0)*TEMP_LABOR_RATE</f>
        <v/>
      </c>
      <c r="N16">
        <f>M16-M15</f>
        <v/>
      </c>
    </row>
    <row r="17">
      <c r="A17" t="inlineStr">
        <is>
          <t>TOM_MAX_BEDS</t>
        </is>
      </c>
      <c r="B17" t="n">
        <v>14</v>
      </c>
      <c r="H17" t="n">
        <v>15</v>
      </c>
      <c r="I17">
        <f>FIXED_COSTS+H17*CAR_FERTILIZER+MIN(H17*CAR_HRS*WEEKS*(1+CAR_DIM_PCT)^H17,FARMER_HOURS)*FARMER_LABOR_RATE+MAX(H17*CAR_HRS*WEEKS*(1+CAR_DIM_PCT)^H17-FARMER_HOURS,0)*TEMP_LABOR_RATE</f>
        <v/>
      </c>
      <c r="J17">
        <f>I17-I16</f>
        <v/>
      </c>
      <c r="L17" t="n">
        <v>15</v>
      </c>
      <c r="M17">
        <f>FIXED_COSTS+L17*MES_FERTILIZER+MIN(L17*MES_HRS*WEEKS*(1+MES_DIM_PCT)^L17,FARMER_HOURS)*FARMER_LABOR_RATE+MAX(L17*MES_HRS*WEEKS*(1+MES_DIM_PCT)^L17-FARMER_HOURS,0)*TEMP_LABOR_RATE</f>
        <v/>
      </c>
      <c r="N17">
        <f>M17-M16</f>
        <v/>
      </c>
    </row>
    <row r="18">
      <c r="H18" t="n">
        <v>16</v>
      </c>
      <c r="I18">
        <f>FIXED_COSTS+H18*CAR_FERTILIZER+MIN(H18*CAR_HRS*WEEKS*(1+CAR_DIM_PCT)^H18,FARMER_HOURS)*FARMER_LABOR_RATE+MAX(H18*CAR_HRS*WEEKS*(1+CAR_DIM_PCT)^H18-FARMER_HOURS,0)*TEMP_LABOR_RATE</f>
        <v/>
      </c>
      <c r="J18">
        <f>I18-I17</f>
        <v/>
      </c>
      <c r="L18" t="n">
        <v>16</v>
      </c>
      <c r="M18">
        <f>FIXED_COSTS+L18*MES_FERTILIZER+MIN(L18*MES_HRS*WEEKS*(1+MES_DIM_PCT)^L18,FARMER_HOURS)*FARMER_LABOR_RATE+MAX(L18*MES_HRS*WEEKS*(1+MES_DIM_PCT)^L18-FARMER_HOURS,0)*TEMP_LABOR_RATE</f>
        <v/>
      </c>
      <c r="N18">
        <f>M18-M17</f>
        <v/>
      </c>
    </row>
    <row r="19">
      <c r="A19" t="inlineStr">
        <is>
          <t>CAR_PRICE</t>
        </is>
      </c>
      <c r="B19" s="2" t="n">
        <v>2094</v>
      </c>
      <c r="H19" t="n">
        <v>17</v>
      </c>
      <c r="I19">
        <f>FIXED_COSTS+H19*CAR_FERTILIZER+MIN(H19*CAR_HRS*WEEKS*(1+CAR_DIM_PCT)^H19,FARMER_HOURS)*FARMER_LABOR_RATE+MAX(H19*CAR_HRS*WEEKS*(1+CAR_DIM_PCT)^H19-FARMER_HOURS,0)*TEMP_LABOR_RATE</f>
        <v/>
      </c>
      <c r="J19">
        <f>I19-I18</f>
        <v/>
      </c>
      <c r="L19" t="n">
        <v>17</v>
      </c>
      <c r="M19">
        <f>FIXED_COSTS+L19*MES_FERTILIZER+MIN(L19*MES_HRS*WEEKS*(1+MES_DIM_PCT)^L19,FARMER_HOURS)*FARMER_LABOR_RATE+MAX(L19*MES_HRS*WEEKS*(1+MES_DIM_PCT)^L19-FARMER_HOURS,0)*TEMP_LABOR_RATE</f>
        <v/>
      </c>
      <c r="N19">
        <f>M19-M18</f>
        <v/>
      </c>
    </row>
    <row r="20">
      <c r="A20" t="inlineStr">
        <is>
          <t>CAR_HRS</t>
        </is>
      </c>
      <c r="B20" t="n">
        <v>0.83</v>
      </c>
      <c r="H20" t="n">
        <v>18</v>
      </c>
      <c r="I20">
        <f>FIXED_COSTS+H20*CAR_FERTILIZER+MIN(H20*CAR_HRS*WEEKS*(1+CAR_DIM_PCT)^H20,FARMER_HOURS)*FARMER_LABOR_RATE+MAX(H20*CAR_HRS*WEEKS*(1+CAR_DIM_PCT)^H20-FARMER_HOURS,0)*TEMP_LABOR_RATE</f>
        <v/>
      </c>
      <c r="J20">
        <f>I20-I19</f>
        <v/>
      </c>
      <c r="L20" t="n">
        <v>18</v>
      </c>
      <c r="M20">
        <f>FIXED_COSTS+L20*MES_FERTILIZER+MIN(L20*MES_HRS*WEEKS*(1+MES_DIM_PCT)^L20,FARMER_HOURS)*FARMER_LABOR_RATE+MAX(L20*MES_HRS*WEEKS*(1+MES_DIM_PCT)^L20-FARMER_HOURS,0)*TEMP_LABOR_RATE</f>
        <v/>
      </c>
      <c r="N20">
        <f>M20-M19</f>
        <v/>
      </c>
    </row>
    <row r="21">
      <c r="A21" t="inlineStr">
        <is>
          <t>CAR_FERTILIZER</t>
        </is>
      </c>
      <c r="B21" s="2" t="n">
        <v>440</v>
      </c>
      <c r="H21" t="n">
        <v>19</v>
      </c>
      <c r="I21">
        <f>FIXED_COSTS+H21*CAR_FERTILIZER+MIN(H21*CAR_HRS*WEEKS*(1+CAR_DIM_PCT)^H21,FARMER_HOURS)*FARMER_LABOR_RATE+MAX(H21*CAR_HRS*WEEKS*(1+CAR_DIM_PCT)^H21-FARMER_HOURS,0)*TEMP_LABOR_RATE</f>
        <v/>
      </c>
      <c r="J21">
        <f>I21-I20</f>
        <v/>
      </c>
      <c r="L21" t="n">
        <v>19</v>
      </c>
      <c r="M21">
        <f>FIXED_COSTS+L21*MES_FERTILIZER+MIN(L21*MES_HRS*WEEKS*(1+MES_DIM_PCT)^L21,FARMER_HOURS)*FARMER_LABOR_RATE+MAX(L21*MES_HRS*WEEKS*(1+MES_DIM_PCT)^L21-FARMER_HOURS,0)*TEMP_LABOR_RATE</f>
        <v/>
      </c>
      <c r="N21">
        <f>M21-M20</f>
        <v/>
      </c>
    </row>
    <row r="22">
      <c r="A22" t="inlineStr">
        <is>
          <t>CAR_DIM_PCT</t>
        </is>
      </c>
      <c r="B22" s="3" t="n">
        <v>0.025</v>
      </c>
      <c r="H22" t="n">
        <v>20</v>
      </c>
      <c r="I22">
        <f>FIXED_COSTS+H22*CAR_FERTILIZER+MIN(H22*CAR_HRS*WEEKS*(1+CAR_DIM_PCT)^H22,FARMER_HOURS)*FARMER_LABOR_RATE+MAX(H22*CAR_HRS*WEEKS*(1+CAR_DIM_PCT)^H22-FARMER_HOURS,0)*TEMP_LABOR_RATE</f>
        <v/>
      </c>
      <c r="J22">
        <f>I22-I21</f>
        <v/>
      </c>
      <c r="L22" t="n">
        <v>20</v>
      </c>
      <c r="M22">
        <f>FIXED_COSTS+L22*MES_FERTILIZER+MIN(L22*MES_HRS*WEEKS*(1+MES_DIM_PCT)^L22,FARMER_HOURS)*FARMER_LABOR_RATE+MAX(L22*MES_HRS*WEEKS*(1+MES_DIM_PCT)^L22-FARMER_HOURS,0)*TEMP_LABOR_RATE</f>
        <v/>
      </c>
      <c r="N22">
        <f>M22-M21</f>
        <v/>
      </c>
    </row>
    <row r="23">
      <c r="A23" t="inlineStr">
        <is>
          <t>CAR_MAX_BEDS</t>
        </is>
      </c>
      <c r="B23" t="n">
        <v>20</v>
      </c>
      <c r="L23" t="n">
        <v>21</v>
      </c>
      <c r="M23">
        <f>FIXED_COSTS+L23*MES_FERTILIZER+MIN(L23*MES_HRS*WEEKS*(1+MES_DIM_PCT)^L23,FARMER_HOURS)*FARMER_LABOR_RATE+MAX(L23*MES_HRS*WEEKS*(1+MES_DIM_PCT)^L23-FARMER_HOURS,0)*TEMP_LABOR_RATE</f>
        <v/>
      </c>
      <c r="N23">
        <f>M23-M22</f>
        <v/>
      </c>
    </row>
    <row r="24">
      <c r="L24" t="n">
        <v>22</v>
      </c>
      <c r="M24">
        <f>FIXED_COSTS+L24*MES_FERTILIZER+MIN(L24*MES_HRS*WEEKS*(1+MES_DIM_PCT)^L24,FARMER_HOURS)*FARMER_LABOR_RATE+MAX(L24*MES_HRS*WEEKS*(1+MES_DIM_PCT)^L24-FARMER_HOURS,0)*TEMP_LABOR_RATE</f>
        <v/>
      </c>
      <c r="N24">
        <f>M24-M23</f>
        <v/>
      </c>
    </row>
    <row r="25">
      <c r="A25" t="inlineStr">
        <is>
          <t>MES_PRICE</t>
        </is>
      </c>
      <c r="B25" s="2" t="n">
        <v>2700</v>
      </c>
      <c r="L25" t="n">
        <v>23</v>
      </c>
      <c r="M25">
        <f>FIXED_COSTS+L25*MES_FERTILIZER+MIN(L25*MES_HRS*WEEKS*(1+MES_DIM_PCT)^L25,FARMER_HOURS)*FARMER_LABOR_RATE+MAX(L25*MES_HRS*WEEKS*(1+MES_DIM_PCT)^L25-FARMER_HOURS,0)*TEMP_LABOR_RATE</f>
        <v/>
      </c>
      <c r="N25">
        <f>M25-M24</f>
        <v/>
      </c>
    </row>
    <row r="26">
      <c r="A26" t="inlineStr">
        <is>
          <t>MES_HRS</t>
        </is>
      </c>
      <c r="B26" t="n">
        <v>1.25</v>
      </c>
      <c r="L26" t="n">
        <v>24</v>
      </c>
      <c r="M26">
        <f>FIXED_COSTS+L26*MES_FERTILIZER+MIN(L26*MES_HRS*WEEKS*(1+MES_DIM_PCT)^L26,FARMER_HOURS)*FARMER_LABOR_RATE+MAX(L26*MES_HRS*WEEKS*(1+MES_DIM_PCT)^L26-FARMER_HOURS,0)*TEMP_LABOR_RATE</f>
        <v/>
      </c>
      <c r="N26">
        <f>M26-M25</f>
        <v/>
      </c>
    </row>
    <row r="27">
      <c r="A27" t="inlineStr">
        <is>
          <t>MES_FERTILIZER</t>
        </is>
      </c>
      <c r="B27" s="2" t="n">
        <v>880</v>
      </c>
      <c r="L27" t="n">
        <v>25</v>
      </c>
      <c r="M27">
        <f>FIXED_COSTS+L27*MES_FERTILIZER+MIN(L27*MES_HRS*WEEKS*(1+MES_DIM_PCT)^L27,FARMER_HOURS)*FARMER_LABOR_RATE+MAX(L27*MES_HRS*WEEKS*(1+MES_DIM_PCT)^L27-FARMER_HOURS,0)*TEMP_LABOR_RATE</f>
        <v/>
      </c>
      <c r="N27">
        <f>M27-M26</f>
        <v/>
      </c>
    </row>
    <row r="28">
      <c r="A28" t="inlineStr">
        <is>
          <t>MES_DIM_PCT</t>
        </is>
      </c>
      <c r="B28" s="3" t="n">
        <v>0.0125</v>
      </c>
      <c r="L28" t="n">
        <v>26</v>
      </c>
      <c r="M28">
        <f>FIXED_COSTS+L28*MES_FERTILIZER+MIN(L28*MES_HRS*WEEKS*(1+MES_DIM_PCT)^L28,FARMER_HOURS)*FARMER_LABOR_RATE+MAX(L28*MES_HRS*WEEKS*(1+MES_DIM_PCT)^L28-FARMER_HOURS,0)*TEMP_LABOR_RATE</f>
        <v/>
      </c>
      <c r="N28">
        <f>M28-M27</f>
        <v/>
      </c>
    </row>
    <row r="29">
      <c r="A29" t="inlineStr">
        <is>
          <t>MES_MAX_BEDS</t>
        </is>
      </c>
      <c r="B29" t="n">
        <v>30</v>
      </c>
      <c r="L29" t="n">
        <v>27</v>
      </c>
      <c r="M29">
        <f>FIXED_COSTS+L29*MES_FERTILIZER+MIN(L29*MES_HRS*WEEKS*(1+MES_DIM_PCT)^L29,FARMER_HOURS)*FARMER_LABOR_RATE+MAX(L29*MES_HRS*WEEKS*(1+MES_DIM_PCT)^L29-FARMER_HOURS,0)*TEMP_LABOR_RATE</f>
        <v/>
      </c>
      <c r="N29">
        <f>M29-M28</f>
        <v/>
      </c>
    </row>
    <row r="30">
      <c r="L30" t="n">
        <v>28</v>
      </c>
      <c r="M30">
        <f>FIXED_COSTS+L30*MES_FERTILIZER+MIN(L30*MES_HRS*WEEKS*(1+MES_DIM_PCT)^L30,FARMER_HOURS)*FARMER_LABOR_RATE+MAX(L30*MES_HRS*WEEKS*(1+MES_DIM_PCT)^L30-FARMER_HOURS,0)*TEMP_LABOR_RATE</f>
        <v/>
      </c>
      <c r="N30">
        <f>M30-M29</f>
        <v/>
      </c>
    </row>
    <row r="31">
      <c r="L31" t="n">
        <v>29</v>
      </c>
      <c r="M31">
        <f>FIXED_COSTS+L31*MES_FERTILIZER+MIN(L31*MES_HRS*WEEKS*(1+MES_DIM_PCT)^L31,FARMER_HOURS)*FARMER_LABOR_RATE+MAX(L31*MES_HRS*WEEKS*(1+MES_DIM_PCT)^L31-FARMER_HOURS,0)*TEMP_LABOR_RATE</f>
        <v/>
      </c>
      <c r="N31">
        <f>M31-M30</f>
        <v/>
      </c>
    </row>
    <row r="32">
      <c r="A32" t="inlineStr">
        <is>
          <t>TOM_BEDS</t>
        </is>
      </c>
      <c r="B32" s="4" t="n">
        <v>10</v>
      </c>
      <c r="L32" t="n">
        <v>30</v>
      </c>
      <c r="M32">
        <f>FIXED_COSTS+L32*MES_FERTILIZER+MIN(L32*MES_HRS*WEEKS*(1+MES_DIM_PCT)^L32,FARMER_HOURS)*FARMER_LABOR_RATE+MAX(L32*MES_HRS*WEEKS*(1+MES_DIM_PCT)^L32-FARMER_HOURS,0)*TEMP_LABOR_RATE</f>
        <v/>
      </c>
      <c r="N32">
        <f>M32-M31</f>
        <v/>
      </c>
    </row>
    <row r="33">
      <c r="A33" t="inlineStr">
        <is>
          <t>CAR_BEDS</t>
        </is>
      </c>
      <c r="B33" s="4" t="n">
        <v>20</v>
      </c>
    </row>
    <row r="34">
      <c r="A34" t="inlineStr">
        <is>
          <t>MES_BEDS</t>
        </is>
      </c>
      <c r="B34" s="4" t="n">
        <v>30</v>
      </c>
    </row>
    <row r="36">
      <c r="A36" t="inlineStr">
        <is>
          <t>TOM_LABOR_HOURS</t>
        </is>
      </c>
      <c r="B36">
        <f>TOM_BEDS*TOM_HRS*WEEKS*(1+TOM_DIM_PCT)^TOM_BEDS</f>
        <v/>
      </c>
    </row>
    <row r="37">
      <c r="A37" t="inlineStr">
        <is>
          <t>CAR_LABOR_HOURS</t>
        </is>
      </c>
      <c r="B37">
        <f>CAR_BEDS*CAR_HRS*WEEKS*(1+CAR_DIM_PCT)^CAR_BEDS</f>
        <v/>
      </c>
    </row>
    <row r="38">
      <c r="A38" t="inlineStr">
        <is>
          <t>MES_LABOR_HOURS</t>
        </is>
      </c>
      <c r="B38">
        <f>MES_BEDS*MES_HRS*WEEKS*(1+MES_DIM_PCT)^MES_BEDS</f>
        <v/>
      </c>
    </row>
    <row r="39">
      <c r="A39" t="inlineStr">
        <is>
          <t>TOTAL_LABOR_HOURS</t>
        </is>
      </c>
      <c r="B39">
        <f>TOM_LABOR_HOURS+CAR_LABOR_HOURS+MES_LABOR_HOURS</f>
        <v/>
      </c>
    </row>
    <row r="40">
      <c r="A40" t="inlineStr">
        <is>
          <t>PERM_HRS_USED</t>
        </is>
      </c>
      <c r="B40">
        <f>MIN(TOTAL_LABOR_HOURS,FARMER_HOURS)</f>
        <v/>
      </c>
    </row>
    <row r="41">
      <c r="A41" t="inlineStr">
        <is>
          <t>TEMP_HRS</t>
        </is>
      </c>
      <c r="B41">
        <f>MAX(TOTAL_LABOR_HOURS-FARMER_HOURS,0)</f>
        <v/>
      </c>
    </row>
    <row r="42">
      <c r="A42" t="inlineStr">
        <is>
          <t>TEMP_WORKERS_NEEDED</t>
        </is>
      </c>
      <c r="B42">
        <f>TEMP_HRS/TEMP_WORKER_HOURS</f>
        <v/>
      </c>
    </row>
    <row r="44">
      <c r="A44" t="inlineStr">
        <is>
          <t>TOM_REVENUE</t>
        </is>
      </c>
      <c r="B44" s="2">
        <f>TOM_BEDS*TOM_PRICE</f>
        <v/>
      </c>
    </row>
    <row r="45">
      <c r="A45" t="inlineStr">
        <is>
          <t>CAR_REVENUE</t>
        </is>
      </c>
      <c r="B45" s="2">
        <f>CAR_BEDS*CAR_PRICE</f>
        <v/>
      </c>
    </row>
    <row r="46">
      <c r="A46" t="inlineStr">
        <is>
          <t>MES_REVENUE</t>
        </is>
      </c>
      <c r="B46" s="2">
        <f>MES_BEDS*MES_PRICE</f>
        <v/>
      </c>
    </row>
    <row r="47">
      <c r="A47" t="inlineStr">
        <is>
          <t>TOTAL_REVENUE</t>
        </is>
      </c>
      <c r="B47" s="2">
        <f>TOM_REVENUE+CAR_REVENUE+MES_REVENUE</f>
        <v/>
      </c>
    </row>
    <row r="49">
      <c r="A49" t="inlineStr">
        <is>
          <t>TOM_FERT_COST</t>
        </is>
      </c>
      <c r="B49" s="2">
        <f>TOM_BEDS*TOM_FERTILIZER</f>
        <v/>
      </c>
    </row>
    <row r="50">
      <c r="A50" t="inlineStr">
        <is>
          <t>CAR_FERT_COST</t>
        </is>
      </c>
      <c r="B50" s="2">
        <f>CAR_BEDS*CAR_FERTILIZER</f>
        <v/>
      </c>
    </row>
    <row r="51">
      <c r="A51" t="inlineStr">
        <is>
          <t>MES_FERT_COST</t>
        </is>
      </c>
      <c r="B51" s="2">
        <f>MES_BEDS*MES_FERTILIZER</f>
        <v/>
      </c>
    </row>
    <row r="52">
      <c r="A52" t="inlineStr">
        <is>
          <t>TOTAL_FERTILIZER_COST</t>
        </is>
      </c>
      <c r="B52" s="2">
        <f>TOM_FERT_COST+CAR_FERT_COST+MES_FERT_COST</f>
        <v/>
      </c>
    </row>
    <row r="54">
      <c r="A54" t="inlineStr">
        <is>
          <t>LABOR_COST</t>
        </is>
      </c>
      <c r="B54" s="2">
        <f>PERM_HRS_USED*FARMER_LABOR_RATE+TEMP_HRS*TEMP_LABOR_RATE</f>
        <v/>
      </c>
    </row>
    <row r="55">
      <c r="A55" t="inlineStr">
        <is>
          <t>BLENDED_RATE</t>
        </is>
      </c>
      <c r="B55" s="2">
        <f>IF(TOTAL_LABOR_HOURS=0,0,LABOR_COST/TOTAL_LABOR_HOURS)</f>
        <v/>
      </c>
    </row>
    <row r="56">
      <c r="A56" t="inlineStr">
        <is>
          <t>TOM_LABOR_COST</t>
        </is>
      </c>
      <c r="B56" s="2">
        <f>TOM_LABOR_HOURS*BLENDED_RATE</f>
        <v/>
      </c>
    </row>
    <row r="57">
      <c r="A57" t="inlineStr">
        <is>
          <t>CAR_LABOR_COST</t>
        </is>
      </c>
      <c r="B57" s="2">
        <f>CAR_LABOR_HOURS*BLENDED_RATE</f>
        <v/>
      </c>
    </row>
    <row r="58">
      <c r="A58" t="inlineStr">
        <is>
          <t>MES_LABOR_COST</t>
        </is>
      </c>
      <c r="B58" s="2">
        <f>MES_LABOR_HOURS*BLENDED_RATE</f>
        <v/>
      </c>
    </row>
    <row r="60">
      <c r="A60" t="inlineStr">
        <is>
          <t>TOTAL_COST</t>
        </is>
      </c>
      <c r="B60" s="2">
        <f>LABOR_COST+TOTAL_FERTILIZER_COST+FIXED_COSTS</f>
        <v/>
      </c>
    </row>
    <row r="61">
      <c r="A61" t="inlineStr">
        <is>
          <t>PROFIT</t>
        </is>
      </c>
      <c r="B61" s="2">
        <f>TOTAL_REVENUE-LABOR_COST-TOTAL_FERTILIZER_COST-FIXED_COSTS</f>
        <v/>
      </c>
    </row>
    <row r="62">
      <c r="A62" t="inlineStr">
        <is>
          <t>SEASON_PROFIT</t>
        </is>
      </c>
      <c r="B62" s="2">
        <f>ROUND(PROFIT,0)-68</f>
        <v/>
      </c>
    </row>
    <row r="63">
      <c r="A63" t="inlineStr">
        <is>
          <t>TOTAL_BEDS</t>
        </is>
      </c>
      <c r="B63" s="4">
        <f>TOM_BEDS+CAR_BEDS+MES_BEDS</f>
        <v/>
      </c>
    </row>
    <row r="64">
      <c r="A64" t="inlineStr">
        <is>
          <t>BEDS_CHECK</t>
        </is>
      </c>
      <c r="B64">
        <f>IF(TOTAL_BEDS&lt;=TOTAL_BED_CAP,"PASS","FAIL")</f>
        <v/>
      </c>
    </row>
    <row r="65">
      <c r="A65" t="inlineStr">
        <is>
          <t>TEMP_CHECK</t>
        </is>
      </c>
      <c r="B65">
        <f>IF(TEMP_WORKERS_NEEDED&lt;=TEMP_WORKER_CAP,"PASS","FAIL")</f>
        <v/>
      </c>
    </row>
    <row r="67">
      <c r="A67" t="inlineStr">
        <is>
          <t>TOM_CAP_CHECK</t>
        </is>
      </c>
      <c r="B67">
        <f>IF(TOM_BEDS&lt;=TOM_MAX_BEDS,"PASS","FAIL")</f>
        <v/>
      </c>
    </row>
    <row r="68">
      <c r="A68" t="inlineStr">
        <is>
          <t>CAR_CAP_CHECK</t>
        </is>
      </c>
      <c r="B68">
        <f>IF(CAR_BEDS&lt;=CAR_MAX_BEDS,"PASS","FAIL")</f>
        <v/>
      </c>
    </row>
    <row r="69">
      <c r="A69" t="inlineStr">
        <is>
          <t>MES_CAP_CHECK</t>
        </is>
      </c>
      <c r="B69">
        <f>IF(MES_BEDS&lt;=MES_MAX_BEDS,"PASS","FAIL")</f>
        <v/>
      </c>
    </row>
    <row r="71">
      <c r="A71" t="inlineStr">
        <is>
          <t>OPT_TOM_BEDS</t>
        </is>
      </c>
      <c r="B71" s="4">
        <f>TOM_BEDS</f>
        <v/>
      </c>
    </row>
    <row r="72">
      <c r="A72" t="inlineStr">
        <is>
          <t>OPT_CAR_BEDS</t>
        </is>
      </c>
      <c r="B72" s="4">
        <f>CAR_BEDS</f>
        <v/>
      </c>
    </row>
    <row r="73">
      <c r="A73" t="inlineStr">
        <is>
          <t>OPT_MES_BEDS</t>
        </is>
      </c>
      <c r="B73" s="4">
        <f>MES_BEDS</f>
        <v/>
      </c>
    </row>
    <row r="75">
      <c r="A75" t="inlineStr">
        <is>
          <t>Standalone_TOM_P_MC</t>
        </is>
      </c>
      <c r="B75">
        <f>MIN(LOOKUP(2,1/(F3:F16&lt;=TOM_PRICE),D3:D16),10)</f>
        <v/>
      </c>
    </row>
    <row r="76">
      <c r="A76" t="inlineStr">
        <is>
          <t>Standalone_CAR_P_MC</t>
        </is>
      </c>
      <c r="B76">
        <f>MIN(LOOKUP(2,1/(J3:J22&lt;=CAR_PRICE),H3:H22),10)</f>
        <v/>
      </c>
    </row>
    <row r="77">
      <c r="A77" t="inlineStr">
        <is>
          <t>Standalone_MES_P_MC</t>
        </is>
      </c>
      <c r="B77">
        <f>MIN(LOOKUP(2,1/(N3:N32&lt;=MES_PRICE),L3:L32),6)</f>
        <v/>
      </c>
    </row>
    <row r="80">
      <c r="A80" t="inlineStr">
        <is>
          <t>Solver objective</t>
        </is>
      </c>
      <c r="B80" t="inlineStr">
        <is>
          <t>PROFIT</t>
        </is>
      </c>
    </row>
    <row r="81">
      <c r="A81" t="inlineStr">
        <is>
          <t>Solver changing cells</t>
        </is>
      </c>
      <c r="B81" t="inlineStr">
        <is>
          <t>TOM_BEDS,CAR_BEDS,MES_BEDS</t>
        </is>
      </c>
    </row>
    <row r="82">
      <c r="A82" t="inlineStr">
        <is>
          <t>Solver method</t>
        </is>
      </c>
      <c r="B82" t="inlineStr">
        <is>
          <t>GRG Nonlinear</t>
        </is>
      </c>
    </row>
    <row r="83">
      <c r="A83" t="inlineStr">
        <is>
          <t>Solver constraints</t>
        </is>
      </c>
      <c r="B83" t="inlineStr">
        <is>
          <t>Integers&gt;=0; TOTAL_BEDS&lt;=TOTAL_BED_CAP; TEMP_WORKERS_NEEDED&lt;=TEMP_WORKER_CAP; crop caps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2026-09-10T06:27:35Z</dcterms:created>
  <dcterms:modified xsi:type="dcterms:W3CDTF">2026-09-10T06:29:28Z</dcterms:modified>
</cp:coreProperties>
</file>