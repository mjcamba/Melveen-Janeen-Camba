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bayergroup-my.sharepoint.com/personal/melveen_camba_ext_bayer_com/Documents/PERSONAL/DLEMBA/Melveen-Janeen-Camba/"/>
    </mc:Choice>
  </mc:AlternateContent>
  <xr:revisionPtr revIDLastSave="1" documentId="11_884DBB1F536414AF6163F8144787C6BE4597C5DA" xr6:coauthVersionLast="47" xr6:coauthVersionMax="47" xr10:uidLastSave="{9122E71F-86AD-4D40-9C9B-905C516B85C7}"/>
  <bookViews>
    <workbookView xWindow="3910" yWindow="500" windowWidth="14350" windowHeight="8730" xr2:uid="{00000000-000D-0000-FFFF-FFFF00000000}"/>
  </bookViews>
  <sheets>
    <sheet name="Model" sheetId="1" r:id="rId1"/>
  </sheets>
  <definedNames>
    <definedName name="CAR_HRS">Model!$B$12</definedName>
    <definedName name="CAR_PRICE">Model!$B$11</definedName>
    <definedName name="Farmer_Hours">Model!$B$6</definedName>
    <definedName name="Farmer_Rate">Model!$B$7</definedName>
    <definedName name="Fixed_Costs">Model!$B$5</definedName>
    <definedName name="MES_HRS">Model!$B$14</definedName>
    <definedName name="MES_PRICE">Model!$B$13</definedName>
    <definedName name="Season_Weeks">Model!$B$4</definedName>
    <definedName name="Temp_Rate">Model!$B$8</definedName>
    <definedName name="TOM_HRS">Model!$B$10</definedName>
    <definedName name="TOM_PRICE">Model!$B$9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24" i="1"/>
  <c r="B27" i="1" s="1"/>
  <c r="B23" i="1"/>
  <c r="B25" i="1" s="1"/>
  <c r="B28" i="1" s="1"/>
  <c r="B22" i="1"/>
</calcChain>
</file>

<file path=xl/sharedStrings.xml><?xml version="1.0" encoding="utf-8"?>
<sst xmlns="http://schemas.openxmlformats.org/spreadsheetml/2006/main" count="25" uniqueCount="25">
  <si>
    <t>Farm Profit Model - Perfect Competition</t>
  </si>
  <si>
    <t>Inputs</t>
  </si>
  <si>
    <t>Season_Weeks</t>
  </si>
  <si>
    <t>Fixed_Costs</t>
  </si>
  <si>
    <t>Farmer_Hours</t>
  </si>
  <si>
    <t>Farmer_Rate</t>
  </si>
  <si>
    <t>Temp_Rate</t>
  </si>
  <si>
    <t>TOM_PRICE</t>
  </si>
  <si>
    <t>TOM_HRS</t>
  </si>
  <si>
    <t>CAR_PRICE</t>
  </si>
  <si>
    <t>CAR_HRS</t>
  </si>
  <si>
    <t>MES_PRICE</t>
  </si>
  <si>
    <t>MES_HRS</t>
  </si>
  <si>
    <t>Decision Beds</t>
  </si>
  <si>
    <t>Tomatoes</t>
  </si>
  <si>
    <t>Carrots</t>
  </si>
  <si>
    <t>Mesclun</t>
  </si>
  <si>
    <t>Calculations</t>
  </si>
  <si>
    <t>Tom Labor Hrs</t>
  </si>
  <si>
    <t>Car Labor Hrs</t>
  </si>
  <si>
    <t>Mes Labor Hrs</t>
  </si>
  <si>
    <t>Total Labor</t>
  </si>
  <si>
    <t>Revenue</t>
  </si>
  <si>
    <t>Labor Cost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</si>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</sst>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8"/>
  <sheetViews>
    <sheetView tabSelected="1" workbookViewId="0"/>
  </sheetViews>
  <sheetFormatPr defaultRowHeight="14.5" x14ac:dyDescent="0.35"/>
  <cols>
    <col min="1" max="3" width="28" customWidth="1"/>
  </cols>
  <sheetData>
    <row r="1" spans="1:2" ht="18.5" x14ac:dyDescent="0.45">
      <c r="A1" s="1" t="s">
        <v>0</v>
      </c>
    </row>
    <row r="3" spans="1:2" x14ac:dyDescent="0.35">
      <c r="A3" s="2" t="s">
        <v>1</v>
      </c>
    </row>
    <row r="4" spans="1:2" x14ac:dyDescent="0.35">
      <c r="A4" t="s">
        <v>2</v>
      </c>
      <c r="B4">
        <v>36</v>
      </c>
    </row>
    <row r="5" spans="1:2" x14ac:dyDescent="0.35">
      <c r="A5" t="s">
        <v>3</v>
      </c>
      <c r="B5">
        <v>20000</v>
      </c>
    </row>
    <row r="6" spans="1:2" x14ac:dyDescent="0.35">
      <c r="A6" t="s">
        <v>4</v>
      </c>
      <c r="B6">
        <v>720</v>
      </c>
    </row>
    <row r="7" spans="1:2" x14ac:dyDescent="0.35">
      <c r="A7" t="s">
        <v>5</v>
      </c>
      <c r="B7">
        <v>34.72</v>
      </c>
    </row>
    <row r="8" spans="1:2" x14ac:dyDescent="0.35">
      <c r="A8" t="s">
        <v>6</v>
      </c>
      <c r="B8">
        <v>17.36</v>
      </c>
    </row>
    <row r="9" spans="1:2" x14ac:dyDescent="0.35">
      <c r="A9" t="s">
        <v>7</v>
      </c>
      <c r="B9">
        <v>8800</v>
      </c>
    </row>
    <row r="10" spans="1:2" x14ac:dyDescent="0.35">
      <c r="A10" t="s">
        <v>8</v>
      </c>
      <c r="B10">
        <v>2.5</v>
      </c>
    </row>
    <row r="11" spans="1:2" x14ac:dyDescent="0.35">
      <c r="A11" t="s">
        <v>9</v>
      </c>
      <c r="B11">
        <v>2094</v>
      </c>
    </row>
    <row r="12" spans="1:2" x14ac:dyDescent="0.35">
      <c r="A12" t="s">
        <v>10</v>
      </c>
      <c r="B12">
        <v>0.83</v>
      </c>
    </row>
    <row r="13" spans="1:2" x14ac:dyDescent="0.35">
      <c r="A13" t="s">
        <v>11</v>
      </c>
      <c r="B13">
        <v>2700</v>
      </c>
    </row>
    <row r="14" spans="1:2" x14ac:dyDescent="0.35">
      <c r="A14" t="s">
        <v>12</v>
      </c>
      <c r="B14">
        <v>1.25</v>
      </c>
    </row>
    <row r="16" spans="1:2" x14ac:dyDescent="0.35">
      <c r="A16" s="2" t="s">
        <v>13</v>
      </c>
    </row>
    <row r="17" spans="1:2" x14ac:dyDescent="0.35">
      <c r="A17" t="s">
        <v>14</v>
      </c>
      <c r="B17">
        <v>14</v>
      </c>
    </row>
    <row r="18" spans="1:2" x14ac:dyDescent="0.35">
      <c r="A18" t="s">
        <v>15</v>
      </c>
      <c r="B18">
        <v>20</v>
      </c>
    </row>
    <row r="19" spans="1:2" x14ac:dyDescent="0.35">
      <c r="A19" t="s">
        <v>16</v>
      </c>
      <c r="B19">
        <v>30</v>
      </c>
    </row>
    <row r="21" spans="1:2" x14ac:dyDescent="0.35">
      <c r="A21" s="2" t="s">
        <v>17</v>
      </c>
    </row>
    <row r="22" spans="1:2" x14ac:dyDescent="0.35">
      <c r="A22" t="s">
        <v>18</v>
      </c>
      <c r="B22">
        <f>B16*TOM_HRS*Season_Weeks*(1+0.1)^B16</f>
        <v>0</v>
      </c>
    </row>
    <row r="23" spans="1:2" x14ac:dyDescent="0.35">
      <c r="A23" t="s">
        <v>19</v>
      </c>
      <c r="B23">
        <f>B17*CAR_HRS*Season_Weeks*(1+0.1)^B17</f>
        <v>1588.5695038454153</v>
      </c>
    </row>
    <row r="24" spans="1:2" x14ac:dyDescent="0.35">
      <c r="A24" t="s">
        <v>20</v>
      </c>
      <c r="B24">
        <f>B18*MES_HRS*Season_Weeks*(1+0.1)^B18</f>
        <v>6054.749954393048</v>
      </c>
    </row>
    <row r="25" spans="1:2" x14ac:dyDescent="0.35">
      <c r="A25" t="s">
        <v>21</v>
      </c>
      <c r="B25">
        <f>SUM(B21:B23)</f>
        <v>1588.5695038454153</v>
      </c>
    </row>
    <row r="26" spans="1:2" x14ac:dyDescent="0.35">
      <c r="A26" t="s">
        <v>22</v>
      </c>
      <c r="B26">
        <f>B16*TOM_PRICE+B17*CAR_PRICE+B18*MES_PRICE</f>
        <v>83316</v>
      </c>
    </row>
    <row r="27" spans="1:2" x14ac:dyDescent="0.35">
      <c r="A27" t="s">
        <v>23</v>
      </c>
      <c r="B27">
        <f>MIN(B24,Farmer_Hours)*Farmer_Rate+MAX(B24-Farmer_Hours,0)*Temp_Rate</f>
        <v>117609.6592082633</v>
      </c>
    </row>
    <row r="28" spans="1:2" x14ac:dyDescent="0.35">
      <c r="A28" t="s">
        <v>24</v>
      </c>
      <c r="B28">
        <f>B25-B26-Fixed_Costs</f>
        <v>-101727.43049615459</v>
      </c>
    </row>
  </sheetData>
  <pageMargins left="0.75" right="0.75" top="1" bottom="1" header="0.5" footer="0.5"/>
  <headerFooter>
    <oddFooter>&amp;R_x000D_&amp;1#&amp;"Aptos"&amp;22&amp;KFF8939 RESTRICTED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11</vt:i4>
      </vt:variant>
    </vt:vector>
  </HeadingPairs>
  <TitlesOfParts>
    <vt:vector size="12" baseType="lpstr">
      <vt:lpstr>Model</vt:lpstr>
      <vt:lpstr>CAR_HRS</vt:lpstr>
      <vt:lpstr>CAR_PRICE</vt:lpstr>
      <vt:lpstr>Farmer_Hours</vt:lpstr>
      <vt:lpstr>Farmer_Rate</vt:lpstr>
      <vt:lpstr>Fixed_Costs</vt:lpstr>
      <vt:lpstr>MES_HRS</vt:lpstr>
      <vt:lpstr>MES_PRICE</vt:lpstr>
      <vt:lpstr>Season_Weeks</vt:lpstr>
      <vt:lpstr>Temp_Rate</vt:lpstr>
      <vt:lpstr>TOM_HRS</vt:lpstr>
      <vt:lpstr>TOM_PRICE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Melveen Camba</dc:creator>
  <cp:lastModifiedBy>Melveen Camba</cp:lastModifiedBy>
  <dcterms:created xsi:type="dcterms:W3CDTF">2026-09-08T04:09:22Z</dcterms:created>
  <dcterms:modified xsi:type="dcterms:W3CDTF">2026-09-08T04:38:13Z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c76c141-ac86-40e5-abf2-c6f60e474cee_Enabled">
    <vt:lpwstr>true</vt:lpwstr>
  </property>
  <property fmtid="{D5CDD505-2E9C-101B-9397-08002B2CF9AE}" pid="3" name="MSIP_Label_2c76c141-ac86-40e5-abf2-c6f60e474cee_SetDate">
    <vt:lpwstr>2026-09-08T04:38:13Z</vt:lpwstr>
  </property>
  <property fmtid="{D5CDD505-2E9C-101B-9397-08002B2CF9AE}" pid="4" name="MSIP_Label_2c76c141-ac86-40e5-abf2-c6f60e474cee_Method">
    <vt:lpwstr>Standard</vt:lpwstr>
  </property>
  <property fmtid="{D5CDD505-2E9C-101B-9397-08002B2CF9AE}" pid="5" name="MSIP_Label_2c76c141-ac86-40e5-abf2-c6f60e474cee_Name">
    <vt:lpwstr>2c76c141-ac86-40e5-abf2-c6f60e474cee</vt:lpwstr>
  </property>
  <property fmtid="{D5CDD505-2E9C-101B-9397-08002B2CF9AE}" pid="6" name="MSIP_Label_2c76c141-ac86-40e5-abf2-c6f60e474cee_SiteId">
    <vt:lpwstr>fcb2b37b-5da0-466b-9b83-0014b67a7c78</vt:lpwstr>
  </property>
  <property fmtid="{D5CDD505-2E9C-101B-9397-08002B2CF9AE}" pid="7" name="MSIP_Label_2c76c141-ac86-40e5-abf2-c6f60e474cee_ActionId">
    <vt:lpwstr>1d39d77c-f4f6-45ba-9b7c-78d78d677bd3</vt:lpwstr>
  </property>
  <property fmtid="{D5CDD505-2E9C-101B-9397-08002B2CF9AE}" pid="8" name="MSIP_Label_2c76c141-ac86-40e5-abf2-c6f60e474cee_ContentBits">
    <vt:lpwstr>2</vt:lpwstr>
  </property>
  <property fmtid="{D5CDD505-2E9C-101B-9397-08002B2CF9AE}" pid="9" name="MSIP_Label_2c76c141-ac86-40e5-abf2-c6f60e474cee_Tag">
    <vt:lpwstr>10, 3, 0, 1</vt:lpwstr>
  </property>
</Properties>
</file>