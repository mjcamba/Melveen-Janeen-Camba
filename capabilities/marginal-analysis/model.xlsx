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LONG4\claude-setup\_farm\out\"/>
    </mc:Choice>
  </mc:AlternateContent>
  <xr:revisionPtr revIDLastSave="0" documentId="13_ncr:1_{93F44638-422A-4904-BBEC-B15A8A7267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" sheetId="1" r:id="rId1"/>
    <sheet name="MC Schedules" sheetId="2" r:id="rId2"/>
  </sheets>
  <definedNames>
    <definedName name="BEDS_CHECK">Model!$B$79</definedName>
    <definedName name="BLENDED_RATE">Model!$B$53</definedName>
    <definedName name="CAR_BEDS">Model!$B$39</definedName>
    <definedName name="CAR_CAP_CHECK">Model!$B$82</definedName>
    <definedName name="CAR_DIM_PCT">Model!$B$27</definedName>
    <definedName name="CAR_FERT_COST">Model!$B$69</definedName>
    <definedName name="CAR_FERTILIZER">Model!$B$26</definedName>
    <definedName name="CAR_HRS">Model!$B$25</definedName>
    <definedName name="CAR_LABOR_COST">Model!$B$57</definedName>
    <definedName name="CAR_LABOR_HOURS">Model!$B$44</definedName>
    <definedName name="CAR_MAX_BEDS">Model!$B$28</definedName>
    <definedName name="CAR_MC_SCHEDULE">'MC Schedules'!$L$1:$U$22</definedName>
    <definedName name="CAR_PRICE">Model!$B$24</definedName>
    <definedName name="CAR_REVENUE">Model!$B$63</definedName>
    <definedName name="FARMER_HOURS">Model!$B$8</definedName>
    <definedName name="FARMER_LABOR_RATE">Model!$B$10</definedName>
    <definedName name="FARMER_SALARY">Model!$B$9</definedName>
    <definedName name="FIXED_COSTS">Model!$B$6</definedName>
    <definedName name="LABOR_COST">Model!$B$52</definedName>
    <definedName name="MES_BEDS">Model!$B$40</definedName>
    <definedName name="MES_CAP_CHECK">Model!$B$83</definedName>
    <definedName name="MES_DIM_PCT">Model!$B$34</definedName>
    <definedName name="MES_FERT_COST">Model!$B$70</definedName>
    <definedName name="MES_FERTILIZER">Model!$B$33</definedName>
    <definedName name="MES_HRS">Model!$B$32</definedName>
    <definedName name="MES_LABOR_COST">Model!$B$58</definedName>
    <definedName name="MES_LABOR_HOURS">Model!$B$45</definedName>
    <definedName name="MES_MAX_BEDS">Model!$B$35</definedName>
    <definedName name="MES_MC_SCHEDULE">'MC Schedules'!$W$1:$AF$32</definedName>
    <definedName name="MES_PRICE">Model!$B$31</definedName>
    <definedName name="MES_REVENUE">Model!$B$64</definedName>
    <definedName name="OPT_CAR_BEDS">Model!$B$87</definedName>
    <definedName name="OPT_MES_BEDS">Model!$B$88</definedName>
    <definedName name="OPT_TOM_BEDS">Model!$B$86</definedName>
    <definedName name="PERM_HRS_USED">Model!$B$49</definedName>
    <definedName name="PROFIT">Model!$B$75</definedName>
    <definedName name="solver_adj" localSheetId="0" hidden="1">Model!$B$38:$B$40</definedName>
    <definedName name="solver_eng" localSheetId="0" hidden="1">1</definedName>
    <definedName name="solver_lhs1" localSheetId="0" hidden="1">Model!$B$38:$B$40</definedName>
    <definedName name="solver_lhs2" localSheetId="0" hidden="1">Model!$B$38:$B$40</definedName>
    <definedName name="solver_lhs3" localSheetId="0" hidden="1">Model!$B$38</definedName>
    <definedName name="solver_lhs4" localSheetId="0" hidden="1">Model!$B$39</definedName>
    <definedName name="solver_lhs5" localSheetId="0" hidden="1">Model!$B$40</definedName>
    <definedName name="solver_lhs6" localSheetId="0" hidden="1">Model!$B$78</definedName>
    <definedName name="solver_lhs7" localSheetId="0" hidden="1">Model!$B$51</definedName>
    <definedName name="solver_neg" localSheetId="0" hidden="1">1</definedName>
    <definedName name="solver_num" localSheetId="0" hidden="1">7</definedName>
    <definedName name="solver_opt" localSheetId="0" hidden="1">Model!$B$75</definedName>
    <definedName name="solver_rel1" localSheetId="0" hidden="1">4</definedName>
    <definedName name="solver_rel2" localSheetId="0" hidden="1">3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hs1" localSheetId="0" hidden="1">"integer"</definedName>
    <definedName name="solver_rhs2" localSheetId="0" hidden="1">0</definedName>
    <definedName name="solver_rhs3" localSheetId="0" hidden="1">20</definedName>
    <definedName name="solver_rhs4" localSheetId="0" hidden="1">20</definedName>
    <definedName name="solver_rhs5" localSheetId="0" hidden="1">30</definedName>
    <definedName name="solver_rhs6" localSheetId="0" hidden="1">64</definedName>
    <definedName name="solver_rhs7" localSheetId="0" hidden="1">4</definedName>
    <definedName name="solver_typ" localSheetId="0" hidden="1">1</definedName>
    <definedName name="solver_val" localSheetId="0" hidden="1">0</definedName>
    <definedName name="solver_ver" localSheetId="0" hidden="1">3</definedName>
    <definedName name="TEMP_CHECK">Model!$B$80</definedName>
    <definedName name="TEMP_HRS">Model!$B$50</definedName>
    <definedName name="TEMP_LABOR_RATE">Model!$B$12</definedName>
    <definedName name="TEMP_WORKER_CAP">Model!$B$14</definedName>
    <definedName name="TEMP_WORKER_HOURS">Model!$B$13</definedName>
    <definedName name="TEMP_WORKER_SALARY">Model!$B$11</definedName>
    <definedName name="TEMP_WORKERS_NEEDED">Model!$B$51</definedName>
    <definedName name="TOM_BEDS">Model!$B$38</definedName>
    <definedName name="TOM_CAP_CHECK">Model!$B$81</definedName>
    <definedName name="TOM_DIM_PCT">Model!$B$20</definedName>
    <definedName name="TOM_FERT_COST">Model!$B$68</definedName>
    <definedName name="TOM_FERTILIZER">Model!$B$19</definedName>
    <definedName name="TOM_HRS">Model!$B$18</definedName>
    <definedName name="TOM_LABOR_COST">Model!$B$56</definedName>
    <definedName name="TOM_LABOR_HOURS">Model!$B$43</definedName>
    <definedName name="TOM_MAX_BEDS">Model!$B$21</definedName>
    <definedName name="TOM_MC_SCHEDULE">'MC Schedules'!$A$1:$J$22</definedName>
    <definedName name="TOM_PRICE">Model!$B$17</definedName>
    <definedName name="TOM_REVENUE">Model!$B$62</definedName>
    <definedName name="TOTAL_BED_CAP">Model!$B$7</definedName>
    <definedName name="TOTAL_BEDS">Model!$B$78</definedName>
    <definedName name="TOTAL_COST">Model!$B$74</definedName>
    <definedName name="TOTAL_FERTILIZER_COST">Model!$B$71</definedName>
    <definedName name="TOTAL_LABOR_HOURS">Model!$B$46</definedName>
    <definedName name="TOTAL_REVENUE">Model!$B$65</definedName>
    <definedName name="WEEKS">Model!$B$5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2" i="2" l="1"/>
  <c r="Z32" i="2"/>
  <c r="X32" i="2"/>
  <c r="AE31" i="2"/>
  <c r="Z31" i="2"/>
  <c r="X31" i="2"/>
  <c r="AE30" i="2"/>
  <c r="Z30" i="2"/>
  <c r="X30" i="2"/>
  <c r="AE29" i="2"/>
  <c r="Z29" i="2"/>
  <c r="X29" i="2"/>
  <c r="AE28" i="2"/>
  <c r="Z28" i="2"/>
  <c r="X28" i="2"/>
  <c r="AE27" i="2"/>
  <c r="Z27" i="2"/>
  <c r="X27" i="2"/>
  <c r="AE26" i="2"/>
  <c r="Z26" i="2"/>
  <c r="X26" i="2"/>
  <c r="AE25" i="2"/>
  <c r="Z25" i="2"/>
  <c r="X25" i="2"/>
  <c r="AE24" i="2"/>
  <c r="Z24" i="2"/>
  <c r="X24" i="2"/>
  <c r="AE23" i="2"/>
  <c r="Z23" i="2"/>
  <c r="X23" i="2"/>
  <c r="AE22" i="2"/>
  <c r="Z22" i="2"/>
  <c r="X22" i="2"/>
  <c r="T22" i="2"/>
  <c r="O22" i="2"/>
  <c r="I22" i="2"/>
  <c r="D22" i="2"/>
  <c r="B22" i="2"/>
  <c r="AE21" i="2"/>
  <c r="Z21" i="2"/>
  <c r="X21" i="2"/>
  <c r="T21" i="2"/>
  <c r="O21" i="2"/>
  <c r="I21" i="2"/>
  <c r="D21" i="2"/>
  <c r="B21" i="2"/>
  <c r="AE20" i="2"/>
  <c r="Z20" i="2"/>
  <c r="X20" i="2"/>
  <c r="T20" i="2"/>
  <c r="O20" i="2"/>
  <c r="I20" i="2"/>
  <c r="D20" i="2"/>
  <c r="B20" i="2"/>
  <c r="AE19" i="2"/>
  <c r="Z19" i="2"/>
  <c r="X19" i="2"/>
  <c r="T19" i="2"/>
  <c r="O19" i="2"/>
  <c r="I19" i="2"/>
  <c r="D19" i="2"/>
  <c r="B19" i="2"/>
  <c r="AE18" i="2"/>
  <c r="Z18" i="2"/>
  <c r="X18" i="2"/>
  <c r="T18" i="2"/>
  <c r="O18" i="2"/>
  <c r="I18" i="2"/>
  <c r="D18" i="2"/>
  <c r="B18" i="2"/>
  <c r="AE17" i="2"/>
  <c r="Z17" i="2"/>
  <c r="X17" i="2"/>
  <c r="T17" i="2"/>
  <c r="O17" i="2"/>
  <c r="I17" i="2"/>
  <c r="D17" i="2"/>
  <c r="B17" i="2"/>
  <c r="AE16" i="2"/>
  <c r="Z16" i="2"/>
  <c r="X16" i="2"/>
  <c r="T16" i="2"/>
  <c r="O16" i="2"/>
  <c r="I16" i="2"/>
  <c r="D16" i="2"/>
  <c r="B16" i="2"/>
  <c r="AE15" i="2"/>
  <c r="Z15" i="2"/>
  <c r="X15" i="2"/>
  <c r="T15" i="2"/>
  <c r="O15" i="2"/>
  <c r="I15" i="2"/>
  <c r="D15" i="2"/>
  <c r="B15" i="2"/>
  <c r="AE14" i="2"/>
  <c r="Z14" i="2"/>
  <c r="X14" i="2"/>
  <c r="T14" i="2"/>
  <c r="O14" i="2"/>
  <c r="I14" i="2"/>
  <c r="D14" i="2"/>
  <c r="B14" i="2"/>
  <c r="AE13" i="2"/>
  <c r="Z13" i="2"/>
  <c r="X13" i="2"/>
  <c r="T13" i="2"/>
  <c r="O13" i="2"/>
  <c r="I13" i="2"/>
  <c r="D13" i="2"/>
  <c r="B13" i="2"/>
  <c r="AE12" i="2"/>
  <c r="Z12" i="2"/>
  <c r="X12" i="2"/>
  <c r="T12" i="2"/>
  <c r="O12" i="2"/>
  <c r="I12" i="2"/>
  <c r="D12" i="2"/>
  <c r="B12" i="2"/>
  <c r="AE11" i="2"/>
  <c r="Z11" i="2"/>
  <c r="X11" i="2"/>
  <c r="T11" i="2"/>
  <c r="O11" i="2"/>
  <c r="I11" i="2"/>
  <c r="D11" i="2"/>
  <c r="B11" i="2"/>
  <c r="AE10" i="2"/>
  <c r="Z10" i="2"/>
  <c r="X10" i="2"/>
  <c r="T10" i="2"/>
  <c r="O10" i="2"/>
  <c r="I10" i="2"/>
  <c r="D10" i="2"/>
  <c r="B10" i="2"/>
  <c r="AE9" i="2"/>
  <c r="Z9" i="2"/>
  <c r="X9" i="2"/>
  <c r="T9" i="2"/>
  <c r="O9" i="2"/>
  <c r="I9" i="2"/>
  <c r="D9" i="2"/>
  <c r="B9" i="2"/>
  <c r="AE8" i="2"/>
  <c r="Z8" i="2"/>
  <c r="X8" i="2"/>
  <c r="T8" i="2"/>
  <c r="O8" i="2"/>
  <c r="I8" i="2"/>
  <c r="D8" i="2"/>
  <c r="B8" i="2"/>
  <c r="AE7" i="2"/>
  <c r="Z7" i="2"/>
  <c r="X7" i="2"/>
  <c r="T7" i="2"/>
  <c r="O7" i="2"/>
  <c r="I7" i="2"/>
  <c r="D7" i="2"/>
  <c r="B7" i="2"/>
  <c r="AE6" i="2"/>
  <c r="Z6" i="2"/>
  <c r="X6" i="2"/>
  <c r="T6" i="2"/>
  <c r="O6" i="2"/>
  <c r="I6" i="2"/>
  <c r="D6" i="2"/>
  <c r="B6" i="2"/>
  <c r="AE5" i="2"/>
  <c r="Z5" i="2"/>
  <c r="X5" i="2"/>
  <c r="T5" i="2"/>
  <c r="O5" i="2"/>
  <c r="I5" i="2"/>
  <c r="D5" i="2"/>
  <c r="B5" i="2"/>
  <c r="AE4" i="2"/>
  <c r="Z4" i="2"/>
  <c r="X4" i="2"/>
  <c r="T4" i="2"/>
  <c r="O4" i="2"/>
  <c r="I4" i="2"/>
  <c r="D4" i="2"/>
  <c r="B4" i="2"/>
  <c r="AE3" i="2"/>
  <c r="Z3" i="2"/>
  <c r="X3" i="2"/>
  <c r="T3" i="2"/>
  <c r="O3" i="2"/>
  <c r="I3" i="2"/>
  <c r="D3" i="2"/>
  <c r="B3" i="2"/>
  <c r="B96" i="1" s="1"/>
  <c r="D96" i="1" s="1"/>
  <c r="AF2" i="2"/>
  <c r="AE2" i="2"/>
  <c r="AD2" i="2"/>
  <c r="AC2" i="2"/>
  <c r="Z2" i="2"/>
  <c r="X2" i="2"/>
  <c r="U2" i="2"/>
  <c r="T2" i="2"/>
  <c r="S2" i="2"/>
  <c r="R2" i="2"/>
  <c r="O2" i="2"/>
  <c r="J2" i="2"/>
  <c r="I2" i="2"/>
  <c r="H2" i="2"/>
  <c r="G2" i="2"/>
  <c r="D2" i="2"/>
  <c r="B2" i="2"/>
  <c r="B108" i="1"/>
  <c r="D108" i="1" s="1"/>
  <c r="B107" i="1"/>
  <c r="D107" i="1" s="1"/>
  <c r="B93" i="1"/>
  <c r="D93" i="1" s="1"/>
  <c r="B92" i="1"/>
  <c r="D92" i="1" s="1"/>
  <c r="B91" i="1"/>
  <c r="D91" i="1" s="1"/>
  <c r="B88" i="1"/>
  <c r="B87" i="1"/>
  <c r="B86" i="1"/>
  <c r="B83" i="1"/>
  <c r="B82" i="1"/>
  <c r="B81" i="1"/>
  <c r="B78" i="1"/>
  <c r="B79" i="1" s="1"/>
  <c r="B70" i="1"/>
  <c r="B69" i="1"/>
  <c r="B68" i="1"/>
  <c r="B64" i="1"/>
  <c r="B63" i="1"/>
  <c r="B62" i="1"/>
  <c r="B45" i="1"/>
  <c r="B43" i="1"/>
  <c r="B25" i="1"/>
  <c r="M15" i="2" s="1"/>
  <c r="B12" i="1"/>
  <c r="B10" i="1"/>
  <c r="Y31" i="2" l="1"/>
  <c r="AA31" i="2" s="1"/>
  <c r="AB31" i="2" s="1"/>
  <c r="AD31" i="2" s="1"/>
  <c r="B71" i="1"/>
  <c r="B65" i="1"/>
  <c r="B94" i="1"/>
  <c r="D94" i="1" s="1"/>
  <c r="C2" i="2"/>
  <c r="E2" i="2" s="1"/>
  <c r="F2" i="2" s="1"/>
  <c r="M2" i="2"/>
  <c r="N2" i="2" s="1"/>
  <c r="P2" i="2" s="1"/>
  <c r="Q2" i="2" s="1"/>
  <c r="Y4" i="2"/>
  <c r="AA4" i="2" s="1"/>
  <c r="AB4" i="2" s="1"/>
  <c r="C10" i="2"/>
  <c r="E10" i="2" s="1"/>
  <c r="F10" i="2" s="1"/>
  <c r="M10" i="2"/>
  <c r="N10" i="2" s="1"/>
  <c r="P10" i="2" s="1"/>
  <c r="Q10" i="2" s="1"/>
  <c r="Y12" i="2"/>
  <c r="AA12" i="2" s="1"/>
  <c r="AB12" i="2" s="1"/>
  <c r="N15" i="2"/>
  <c r="P15" i="2" s="1"/>
  <c r="Q15" i="2" s="1"/>
  <c r="C18" i="2"/>
  <c r="E18" i="2" s="1"/>
  <c r="F18" i="2" s="1"/>
  <c r="M18" i="2"/>
  <c r="N18" i="2" s="1"/>
  <c r="P18" i="2" s="1"/>
  <c r="Q18" i="2" s="1"/>
  <c r="Y20" i="2"/>
  <c r="AA20" i="2" s="1"/>
  <c r="AB20" i="2" s="1"/>
  <c r="Y24" i="2"/>
  <c r="AA24" i="2" s="1"/>
  <c r="AB24" i="2" s="1"/>
  <c r="Y32" i="2"/>
  <c r="AA32" i="2" s="1"/>
  <c r="AB32" i="2" s="1"/>
  <c r="C5" i="2"/>
  <c r="E5" i="2" s="1"/>
  <c r="F5" i="2" s="1"/>
  <c r="M5" i="2"/>
  <c r="N5" i="2" s="1"/>
  <c r="P5" i="2" s="1"/>
  <c r="Q5" i="2" s="1"/>
  <c r="Y7" i="2"/>
  <c r="AA7" i="2" s="1"/>
  <c r="AB7" i="2" s="1"/>
  <c r="C13" i="2"/>
  <c r="E13" i="2" s="1"/>
  <c r="F13" i="2" s="1"/>
  <c r="M13" i="2"/>
  <c r="N13" i="2" s="1"/>
  <c r="P13" i="2" s="1"/>
  <c r="Q13" i="2" s="1"/>
  <c r="Y15" i="2"/>
  <c r="AA15" i="2" s="1"/>
  <c r="AB15" i="2" s="1"/>
  <c r="C21" i="2"/>
  <c r="E21" i="2" s="1"/>
  <c r="F21" i="2" s="1"/>
  <c r="M21" i="2"/>
  <c r="N21" i="2" s="1"/>
  <c r="P21" i="2" s="1"/>
  <c r="Q21" i="2" s="1"/>
  <c r="Y25" i="2"/>
  <c r="AA25" i="2" s="1"/>
  <c r="AB25" i="2" s="1"/>
  <c r="B44" i="1"/>
  <c r="Y2" i="2"/>
  <c r="AA2" i="2" s="1"/>
  <c r="AB2" i="2" s="1"/>
  <c r="M8" i="2"/>
  <c r="C16" i="2"/>
  <c r="E16" i="2" s="1"/>
  <c r="F16" i="2" s="1"/>
  <c r="M16" i="2"/>
  <c r="N16" i="2" s="1"/>
  <c r="P16" i="2" s="1"/>
  <c r="Q16" i="2" s="1"/>
  <c r="Y18" i="2"/>
  <c r="AA18" i="2" s="1"/>
  <c r="AB18" i="2" s="1"/>
  <c r="Y26" i="2"/>
  <c r="AA26" i="2" s="1"/>
  <c r="AB26" i="2" s="1"/>
  <c r="C8" i="2"/>
  <c r="E8" i="2" s="1"/>
  <c r="F8" i="2" s="1"/>
  <c r="Y10" i="2"/>
  <c r="AA10" i="2" s="1"/>
  <c r="AB10" i="2" s="1"/>
  <c r="C3" i="2"/>
  <c r="M3" i="2"/>
  <c r="N3" i="2" s="1"/>
  <c r="P3" i="2" s="1"/>
  <c r="Q3" i="2" s="1"/>
  <c r="Y5" i="2"/>
  <c r="AA5" i="2" s="1"/>
  <c r="AB5" i="2" s="1"/>
  <c r="N8" i="2"/>
  <c r="P8" i="2" s="1"/>
  <c r="Q8" i="2" s="1"/>
  <c r="C11" i="2"/>
  <c r="E11" i="2" s="1"/>
  <c r="F11" i="2" s="1"/>
  <c r="M11" i="2"/>
  <c r="N11" i="2" s="1"/>
  <c r="P11" i="2" s="1"/>
  <c r="Q11" i="2" s="1"/>
  <c r="Y13" i="2"/>
  <c r="AA13" i="2" s="1"/>
  <c r="AB13" i="2" s="1"/>
  <c r="C19" i="2"/>
  <c r="E19" i="2" s="1"/>
  <c r="F19" i="2" s="1"/>
  <c r="M19" i="2"/>
  <c r="N19" i="2" s="1"/>
  <c r="P19" i="2" s="1"/>
  <c r="Q19" i="2" s="1"/>
  <c r="Y21" i="2"/>
  <c r="AA21" i="2" s="1"/>
  <c r="AB21" i="2" s="1"/>
  <c r="Y27" i="2"/>
  <c r="AA27" i="2" s="1"/>
  <c r="AB27" i="2" s="1"/>
  <c r="C6" i="2"/>
  <c r="E6" i="2" s="1"/>
  <c r="F6" i="2" s="1"/>
  <c r="M6" i="2"/>
  <c r="N6" i="2" s="1"/>
  <c r="P6" i="2" s="1"/>
  <c r="Q6" i="2" s="1"/>
  <c r="Y8" i="2"/>
  <c r="AA8" i="2" s="1"/>
  <c r="AB8" i="2" s="1"/>
  <c r="C14" i="2"/>
  <c r="E14" i="2" s="1"/>
  <c r="F14" i="2" s="1"/>
  <c r="M14" i="2"/>
  <c r="N14" i="2" s="1"/>
  <c r="P14" i="2" s="1"/>
  <c r="Q14" i="2" s="1"/>
  <c r="Y16" i="2"/>
  <c r="AA16" i="2" s="1"/>
  <c r="AB16" i="2" s="1"/>
  <c r="C22" i="2"/>
  <c r="E22" i="2" s="1"/>
  <c r="F22" i="2" s="1"/>
  <c r="M22" i="2"/>
  <c r="N22" i="2" s="1"/>
  <c r="P22" i="2" s="1"/>
  <c r="Q22" i="2" s="1"/>
  <c r="Y28" i="2"/>
  <c r="AA28" i="2" s="1"/>
  <c r="AB28" i="2" s="1"/>
  <c r="Y3" i="2"/>
  <c r="AA3" i="2" s="1"/>
  <c r="AB3" i="2" s="1"/>
  <c r="C9" i="2"/>
  <c r="E9" i="2" s="1"/>
  <c r="F9" i="2" s="1"/>
  <c r="M9" i="2"/>
  <c r="N9" i="2" s="1"/>
  <c r="P9" i="2" s="1"/>
  <c r="Q9" i="2" s="1"/>
  <c r="Y11" i="2"/>
  <c r="AA11" i="2" s="1"/>
  <c r="AB11" i="2" s="1"/>
  <c r="C17" i="2"/>
  <c r="E17" i="2" s="1"/>
  <c r="F17" i="2" s="1"/>
  <c r="M17" i="2"/>
  <c r="Y19" i="2"/>
  <c r="AA19" i="2" s="1"/>
  <c r="AB19" i="2" s="1"/>
  <c r="Y29" i="2"/>
  <c r="AA29" i="2" s="1"/>
  <c r="AB29" i="2" s="1"/>
  <c r="C4" i="2"/>
  <c r="E4" i="2" s="1"/>
  <c r="F4" i="2" s="1"/>
  <c r="M4" i="2"/>
  <c r="N4" i="2" s="1"/>
  <c r="P4" i="2" s="1"/>
  <c r="Q4" i="2" s="1"/>
  <c r="Y6" i="2"/>
  <c r="AA6" i="2" s="1"/>
  <c r="AB6" i="2" s="1"/>
  <c r="C12" i="2"/>
  <c r="E12" i="2" s="1"/>
  <c r="F12" i="2" s="1"/>
  <c r="M12" i="2"/>
  <c r="N12" i="2" s="1"/>
  <c r="P12" i="2" s="1"/>
  <c r="Q12" i="2" s="1"/>
  <c r="Y14" i="2"/>
  <c r="AA14" i="2" s="1"/>
  <c r="AB14" i="2" s="1"/>
  <c r="N17" i="2"/>
  <c r="P17" i="2" s="1"/>
  <c r="Q17" i="2" s="1"/>
  <c r="C20" i="2"/>
  <c r="E20" i="2" s="1"/>
  <c r="F20" i="2" s="1"/>
  <c r="M20" i="2"/>
  <c r="N20" i="2" s="1"/>
  <c r="P20" i="2" s="1"/>
  <c r="Q20" i="2" s="1"/>
  <c r="Y22" i="2"/>
  <c r="AA22" i="2" s="1"/>
  <c r="AB22" i="2" s="1"/>
  <c r="Y30" i="2"/>
  <c r="AA30" i="2" s="1"/>
  <c r="AB30" i="2" s="1"/>
  <c r="C7" i="2"/>
  <c r="E7" i="2" s="1"/>
  <c r="F7" i="2" s="1"/>
  <c r="M7" i="2"/>
  <c r="N7" i="2" s="1"/>
  <c r="P7" i="2" s="1"/>
  <c r="Q7" i="2" s="1"/>
  <c r="Y9" i="2"/>
  <c r="AA9" i="2" s="1"/>
  <c r="AB9" i="2" s="1"/>
  <c r="C15" i="2"/>
  <c r="E15" i="2" s="1"/>
  <c r="F15" i="2" s="1"/>
  <c r="Y17" i="2"/>
  <c r="AA17" i="2" s="1"/>
  <c r="AB17" i="2" s="1"/>
  <c r="Y23" i="2"/>
  <c r="AA23" i="2" s="1"/>
  <c r="AB23" i="2" s="1"/>
  <c r="AC31" i="2" l="1"/>
  <c r="S22" i="2"/>
  <c r="R22" i="2"/>
  <c r="S9" i="2"/>
  <c r="R9" i="2"/>
  <c r="S11" i="2"/>
  <c r="R11" i="2"/>
  <c r="S4" i="2"/>
  <c r="R4" i="2"/>
  <c r="S13" i="2"/>
  <c r="R13" i="2"/>
  <c r="S18" i="2"/>
  <c r="R18" i="2"/>
  <c r="S7" i="2"/>
  <c r="R7" i="2"/>
  <c r="S20" i="2"/>
  <c r="R20" i="2"/>
  <c r="S6" i="2"/>
  <c r="R6" i="2"/>
  <c r="AC21" i="2"/>
  <c r="AD21" i="2"/>
  <c r="AC5" i="2"/>
  <c r="AD5" i="2"/>
  <c r="S21" i="2"/>
  <c r="R21" i="2"/>
  <c r="S15" i="2"/>
  <c r="R15" i="2"/>
  <c r="H7" i="2"/>
  <c r="G7" i="2"/>
  <c r="H14" i="2"/>
  <c r="G14" i="2"/>
  <c r="AD18" i="2"/>
  <c r="AC18" i="2"/>
  <c r="H21" i="2"/>
  <c r="G21" i="2"/>
  <c r="H5" i="2"/>
  <c r="G5" i="2"/>
  <c r="AD12" i="2"/>
  <c r="AC12" i="2"/>
  <c r="AD14" i="2"/>
  <c r="AC14" i="2"/>
  <c r="AD23" i="2"/>
  <c r="AC23" i="2"/>
  <c r="AD19" i="2"/>
  <c r="AC19" i="2"/>
  <c r="AD3" i="2"/>
  <c r="AC3" i="2"/>
  <c r="G19" i="2"/>
  <c r="H19" i="2"/>
  <c r="E3" i="2"/>
  <c r="F3" i="2" s="1"/>
  <c r="G4" i="2" s="1"/>
  <c r="H15" i="2"/>
  <c r="G15" i="2"/>
  <c r="AD22" i="2"/>
  <c r="AC22" i="2"/>
  <c r="AD6" i="2"/>
  <c r="AC6" i="2"/>
  <c r="S14" i="2"/>
  <c r="R14" i="2"/>
  <c r="H22" i="2"/>
  <c r="G22" i="2"/>
  <c r="H6" i="2"/>
  <c r="G6" i="2"/>
  <c r="H8" i="2"/>
  <c r="G8" i="2"/>
  <c r="H13" i="2"/>
  <c r="G13" i="2"/>
  <c r="AD20" i="2"/>
  <c r="AC20" i="2"/>
  <c r="AD4" i="2"/>
  <c r="AC4" i="2"/>
  <c r="AF4" i="2" s="1"/>
  <c r="S12" i="2"/>
  <c r="R12" i="2"/>
  <c r="AD11" i="2"/>
  <c r="AC11" i="2"/>
  <c r="S19" i="2"/>
  <c r="R19" i="2"/>
  <c r="S3" i="2"/>
  <c r="R3" i="2"/>
  <c r="G11" i="2"/>
  <c r="H11" i="2"/>
  <c r="S5" i="2"/>
  <c r="R5" i="2"/>
  <c r="B46" i="1"/>
  <c r="S10" i="2"/>
  <c r="R10" i="2"/>
  <c r="H20" i="2"/>
  <c r="G20" i="2"/>
  <c r="AD16" i="2"/>
  <c r="AC16" i="2"/>
  <c r="R8" i="2"/>
  <c r="S8" i="2"/>
  <c r="AD25" i="2"/>
  <c r="AC25" i="2"/>
  <c r="H18" i="2"/>
  <c r="G18" i="2"/>
  <c r="AD29" i="2"/>
  <c r="AC29" i="2"/>
  <c r="H12" i="2"/>
  <c r="G12" i="2"/>
  <c r="AD28" i="2"/>
  <c r="AC28" i="2"/>
  <c r="AD8" i="2"/>
  <c r="AC8" i="2"/>
  <c r="R16" i="2"/>
  <c r="S16" i="2"/>
  <c r="H16" i="2"/>
  <c r="G16" i="2"/>
  <c r="AD15" i="2"/>
  <c r="AC15" i="2"/>
  <c r="AD32" i="2"/>
  <c r="AC32" i="2"/>
  <c r="H10" i="2"/>
  <c r="G10" i="2"/>
  <c r="AD9" i="2"/>
  <c r="AC9" i="2"/>
  <c r="H4" i="2"/>
  <c r="AC27" i="2"/>
  <c r="AD27" i="2"/>
  <c r="AD26" i="2"/>
  <c r="AC26" i="2"/>
  <c r="AD7" i="2"/>
  <c r="AC7" i="2"/>
  <c r="S17" i="2"/>
  <c r="R17" i="2"/>
  <c r="H9" i="2"/>
  <c r="G9" i="2"/>
  <c r="AD17" i="2"/>
  <c r="AC17" i="2"/>
  <c r="AD30" i="2"/>
  <c r="AC30" i="2"/>
  <c r="H17" i="2"/>
  <c r="G17" i="2"/>
  <c r="AC13" i="2"/>
  <c r="AD13" i="2"/>
  <c r="AD10" i="2"/>
  <c r="AC10" i="2"/>
  <c r="AD24" i="2"/>
  <c r="AC24" i="2"/>
  <c r="U4" i="2" l="1"/>
  <c r="AF31" i="2"/>
  <c r="U17" i="2"/>
  <c r="AF28" i="2"/>
  <c r="AF15" i="2"/>
  <c r="AF12" i="2"/>
  <c r="AF24" i="2"/>
  <c r="AF7" i="2"/>
  <c r="AF5" i="2"/>
  <c r="AF26" i="2"/>
  <c r="U8" i="2"/>
  <c r="AF21" i="2"/>
  <c r="U9" i="2"/>
  <c r="AF22" i="2"/>
  <c r="AF3" i="2"/>
  <c r="U7" i="2"/>
  <c r="AF9" i="2"/>
  <c r="U11" i="2"/>
  <c r="AF20" i="2"/>
  <c r="AF10" i="2"/>
  <c r="AF11" i="2"/>
  <c r="AF23" i="2"/>
  <c r="U15" i="2"/>
  <c r="U6" i="2"/>
  <c r="U10" i="2"/>
  <c r="U3" i="2"/>
  <c r="B50" i="1"/>
  <c r="B51" i="1" s="1"/>
  <c r="B80" i="1" s="1"/>
  <c r="B49" i="1"/>
  <c r="AF19" i="2"/>
  <c r="AF17" i="2"/>
  <c r="AF29" i="2"/>
  <c r="AF16" i="2"/>
  <c r="U5" i="2"/>
  <c r="U14" i="2"/>
  <c r="AF32" i="2"/>
  <c r="AF8" i="2"/>
  <c r="G3" i="2"/>
  <c r="J10" i="2" s="1"/>
  <c r="H3" i="2"/>
  <c r="B98" i="1" s="1"/>
  <c r="D98" i="1" s="1"/>
  <c r="U13" i="2"/>
  <c r="U22" i="2"/>
  <c r="AF25" i="2"/>
  <c r="AF30" i="2"/>
  <c r="U19" i="2"/>
  <c r="U18" i="2"/>
  <c r="U16" i="2"/>
  <c r="AF13" i="2"/>
  <c r="AF27" i="2"/>
  <c r="U12" i="2"/>
  <c r="AF6" i="2"/>
  <c r="AF14" i="2"/>
  <c r="AF18" i="2"/>
  <c r="U21" i="2"/>
  <c r="U20" i="2"/>
  <c r="J7" i="2" l="1"/>
  <c r="J8" i="2"/>
  <c r="J15" i="2"/>
  <c r="J21" i="2"/>
  <c r="B101" i="1"/>
  <c r="D101" i="1" s="1"/>
  <c r="J20" i="2"/>
  <c r="J12" i="2"/>
  <c r="J14" i="2"/>
  <c r="B97" i="1"/>
  <c r="D97" i="1" s="1"/>
  <c r="J3" i="2"/>
  <c r="J18" i="2"/>
  <c r="J19" i="2"/>
  <c r="J11" i="2"/>
  <c r="B100" i="1"/>
  <c r="D100" i="1" s="1"/>
  <c r="J22" i="2"/>
  <c r="J6" i="2"/>
  <c r="J9" i="2"/>
  <c r="B52" i="1"/>
  <c r="J4" i="2"/>
  <c r="J5" i="2"/>
  <c r="J17" i="2"/>
  <c r="J16" i="2"/>
  <c r="J13" i="2"/>
  <c r="B106" i="1" l="1"/>
  <c r="D106" i="1" s="1"/>
  <c r="B99" i="1"/>
  <c r="D99" i="1" s="1"/>
  <c r="B74" i="1"/>
  <c r="B75" i="1"/>
  <c r="B53" i="1"/>
  <c r="B58" i="1" l="1"/>
  <c r="B56" i="1"/>
  <c r="B57" i="1"/>
  <c r="B95" i="1"/>
  <c r="D95" i="1" s="1"/>
  <c r="B102" i="1" s="1"/>
  <c r="B105" i="1" l="1"/>
  <c r="D105" i="1" s="1"/>
</calcChain>
</file>

<file path=xl/sharedStrings.xml><?xml version="1.0" encoding="utf-8"?>
<sst xmlns="http://schemas.openxmlformats.org/spreadsheetml/2006/main" count="385" uniqueCount="188">
  <si>
    <t>Marginal-Analysis Model — Farm Bed Allocation</t>
  </si>
  <si>
    <t>Built from capabilities/marginal-analysis/spec.md. All inputs are workbook-level named ranges; all calculated cells are formulas.</t>
  </si>
  <si>
    <t>FARM INPUTS</t>
  </si>
  <si>
    <t/>
  </si>
  <si>
    <t>Name</t>
  </si>
  <si>
    <t>Value</t>
  </si>
  <si>
    <t>Unit</t>
  </si>
  <si>
    <t>Source</t>
  </si>
  <si>
    <t>WEEKS</t>
  </si>
  <si>
    <t>weeks</t>
  </si>
  <si>
    <t>Case scenario</t>
  </si>
  <si>
    <t>FIXED_COSTS</t>
  </si>
  <si>
    <t>USD per season</t>
  </si>
  <si>
    <t>TOTAL_BED_CAP</t>
  </si>
  <si>
    <t>beds</t>
  </si>
  <si>
    <t>FARMER_HOURS</t>
  </si>
  <si>
    <t>field hours</t>
  </si>
  <si>
    <t>FARMER_SALARY</t>
  </si>
  <si>
    <t>FARMER_LABOR_RATE</t>
  </si>
  <si>
    <t>USD per hour</t>
  </si>
  <si>
    <t>TEMP_WORKER_SALARY</t>
  </si>
  <si>
    <t>TEMP_LABOR_RATE</t>
  </si>
  <si>
    <t>TEMP_WORKER_HOURS</t>
  </si>
  <si>
    <t>hours per worker per season</t>
  </si>
  <si>
    <t>TEMP_WORKER_CAP</t>
  </si>
  <si>
    <t>workers</t>
  </si>
  <si>
    <t>TOMATO INPUTS</t>
  </si>
  <si>
    <t>TOM_PRICE</t>
  </si>
  <si>
    <t>USD per bed</t>
  </si>
  <si>
    <t>Crop table</t>
  </si>
  <si>
    <t>TOM_HRS</t>
  </si>
  <si>
    <t>hours per week per bed</t>
  </si>
  <si>
    <t>TOM_FERTILIZER</t>
  </si>
  <si>
    <t>Farm Profit Lab</t>
  </si>
  <si>
    <t>TOM_DIM_PCT</t>
  </si>
  <si>
    <t>diminishing-return rate</t>
  </si>
  <si>
    <t>TOM_MAX_BEDS</t>
  </si>
  <si>
    <t>CARROT INPUTS</t>
  </si>
  <si>
    <t>CAR_PRICE</t>
  </si>
  <si>
    <t>CAR_HRS</t>
  </si>
  <si>
    <t>CAR_FERTILIZER</t>
  </si>
  <si>
    <t>CAR_DIM_PCT</t>
  </si>
  <si>
    <t>CAR_MAX_BEDS</t>
  </si>
  <si>
    <t>MESCLUN INPUTS</t>
  </si>
  <si>
    <t>MES_PRICE</t>
  </si>
  <si>
    <t>MES_HRS</t>
  </si>
  <si>
    <t>MES_FERTILIZER</t>
  </si>
  <si>
    <t>MES_DIM_PCT</t>
  </si>
  <si>
    <t>MES_MAX_BEDS</t>
  </si>
  <si>
    <t>DECISION VARIABLES (Solver changing cells)</t>
  </si>
  <si>
    <t>Note</t>
  </si>
  <si>
    <t>TOM_BEDS</t>
  </si>
  <si>
    <t>Solver changing cell — integer, &gt;= 0</t>
  </si>
  <si>
    <t>CAR_BEDS</t>
  </si>
  <si>
    <t>MES_BEDS</t>
  </si>
  <si>
    <t>CROP LABOR HOURS</t>
  </si>
  <si>
    <t>Formula basis</t>
  </si>
  <si>
    <t>TOM_LABOR_HOURS</t>
  </si>
  <si>
    <t>hours</t>
  </si>
  <si>
    <t>q x hrs x WEEKS x (1+dim)^q</t>
  </si>
  <si>
    <t>CAR_LABOR_HOURS</t>
  </si>
  <si>
    <t>MES_LABOR_HOURS</t>
  </si>
  <si>
    <t>TOTAL_LABOR_HOURS</t>
  </si>
  <si>
    <t>Sum of crop labor hours</t>
  </si>
  <si>
    <t>LABOR ALLOCATION AND COST</t>
  </si>
  <si>
    <t>PERM_HRS_USED</t>
  </si>
  <si>
    <t>Farmer labor consumed first</t>
  </si>
  <si>
    <t>TEMP_HRS</t>
  </si>
  <si>
    <t>Hours beyond the farmer’s 720</t>
  </si>
  <si>
    <t>TEMP_WORKERS_NEEDED</t>
  </si>
  <si>
    <t>May be fractional; not rounded</t>
  </si>
  <si>
    <t>LABOR_COST</t>
  </si>
  <si>
    <t>Permanent priced before temporary</t>
  </si>
  <si>
    <t>BLENDED_RATE</t>
  </si>
  <si>
    <t>Reporting metric only (Convention 5)</t>
  </si>
  <si>
    <t>CROP LABOR ALLOCATION (reporting only — not used in PROFIT)</t>
  </si>
  <si>
    <t>TOM_LABOR_COST</t>
  </si>
  <si>
    <t>Hours x BLENDED_RATE</t>
  </si>
  <si>
    <t>CAR_LABOR_COST</t>
  </si>
  <si>
    <t>MES_LABOR_COST</t>
  </si>
  <si>
    <t>Convention 5: BLENDED_RATE is a reporting metric. PROFIT uses LABOR_COST directly, not these allocations.</t>
  </si>
  <si>
    <t>REVENUE</t>
  </si>
  <si>
    <t>TOM_REVENUE</t>
  </si>
  <si>
    <t>Beds x price per bed</t>
  </si>
  <si>
    <t>CAR_REVENUE</t>
  </si>
  <si>
    <t>MES_REVENUE</t>
  </si>
  <si>
    <t>TOTAL_REVENUE</t>
  </si>
  <si>
    <t>Sum of crop revenue</t>
  </si>
  <si>
    <t>FERTILIZER COST</t>
  </si>
  <si>
    <t>TOM_FERT_COST</t>
  </si>
  <si>
    <t>Beds x fertilizer per bed</t>
  </si>
  <si>
    <t>CAR_FERT_COST</t>
  </si>
  <si>
    <t>MES_FERT_COST</t>
  </si>
  <si>
    <t>TOTAL_FERTILIZER_COST</t>
  </si>
  <si>
    <t>Sum of crop fertilizer cost</t>
  </si>
  <si>
    <t>COST AND PROFIT</t>
  </si>
  <si>
    <t>TOTAL_COST</t>
  </si>
  <si>
    <t>Labor + fertilizer + fixed</t>
  </si>
  <si>
    <t>PROFIT</t>
  </si>
  <si>
    <t>Solver objective — MAXIMIZE</t>
  </si>
  <si>
    <t>CONSTRAINTS AND CHECKS</t>
  </si>
  <si>
    <t>Rule</t>
  </si>
  <si>
    <t>TOTAL_BEDS</t>
  </si>
  <si>
    <t>Sum of bed counts</t>
  </si>
  <si>
    <t>BEDS_CHECK</t>
  </si>
  <si>
    <t>TOTAL_BEDS &lt;= 64</t>
  </si>
  <si>
    <t>TEMP_CHECK</t>
  </si>
  <si>
    <t>TEMP_WORKERS_NEEDED &lt;= 4</t>
  </si>
  <si>
    <t>TOM_CAP_CHECK</t>
  </si>
  <si>
    <t>TOM_BEDS &lt;= TOM_MAX_BEDS</t>
  </si>
  <si>
    <t>CAR_CAP_CHECK</t>
  </si>
  <si>
    <t>CAR_BEDS &lt;= CAR_MAX_BEDS</t>
  </si>
  <si>
    <t>MES_CAP_CHECK</t>
  </si>
  <si>
    <t>MES_BEDS &lt;= MES_MAX_BEDS</t>
  </si>
  <si>
    <t>OPTIMIZATION OUTPUTS</t>
  </si>
  <si>
    <t>OPT_TOM_BEDS</t>
  </si>
  <si>
    <t>Final Solver value of TOM_BEDS</t>
  </si>
  <si>
    <t>OPT_CAR_BEDS</t>
  </si>
  <si>
    <t>Final Solver value of CAR_BEDS</t>
  </si>
  <si>
    <t>OPT_MES_BEDS</t>
  </si>
  <si>
    <t>Final Solver value of MES_BEDS</t>
  </si>
  <si>
    <t>ACCEPTANCE CRITERIA (computed in-workbook)</t>
  </si>
  <si>
    <t>Criterion</t>
  </si>
  <si>
    <t>Workbook value</t>
  </si>
  <si>
    <t>Expected</t>
  </si>
  <si>
    <t>Result</t>
  </si>
  <si>
    <t>Tomato beds</t>
  </si>
  <si>
    <t>Carrot beds</t>
  </si>
  <si>
    <t>Mesclun beds</t>
  </si>
  <si>
    <t>Beds used</t>
  </si>
  <si>
    <t>PROFIT (rounded to whole dollar)</t>
  </si>
  <si>
    <t>Tomato labor hours at q = 1</t>
  </si>
  <si>
    <t>Tomato MC at q = 1</t>
  </si>
  <si>
    <t>Tomato AVC at q = 1</t>
  </si>
  <si>
    <t>Standalone P ≈ MC — tomatoes</t>
  </si>
  <si>
    <t>Standalone P ≈ MC — carrots</t>
  </si>
  <si>
    <t>Standalone P ≈ MC — mesclun</t>
  </si>
  <si>
    <t>ALL ACCEPTANCE CRITERIA</t>
  </si>
  <si>
    <t>STRUCTURAL VALIDATION</t>
  </si>
  <si>
    <t>Check</t>
  </si>
  <si>
    <t>Count</t>
  </si>
  <si>
    <t>Model sheet cells with an error value</t>
  </si>
  <si>
    <t>MC Schedules cells with an error value</t>
  </si>
  <si>
    <t>Calculated Model cells missing a formula</t>
  </si>
  <si>
    <t>Decision-variable cells that are formulas</t>
  </si>
  <si>
    <t>SOLVER CONFIGURATION</t>
  </si>
  <si>
    <t>Enter these in Data &gt; Solver. Solver parameters are stored by the Solver add-in, not in the sheet.</t>
  </si>
  <si>
    <t>Objective</t>
  </si>
  <si>
    <t>PROFIT — Set Objective: $B$75, To: Max</t>
  </si>
  <si>
    <t>Changing cells</t>
  </si>
  <si>
    <t>TOM_BEDS, CAR_BEDS, MES_BEDS</t>
  </si>
  <si>
    <t>Method</t>
  </si>
  <si>
    <t>GRG Nonlinear</t>
  </si>
  <si>
    <t>Constraint 1</t>
  </si>
  <si>
    <t>TOM_BEDS = integer</t>
  </si>
  <si>
    <t>Constraint 2</t>
  </si>
  <si>
    <t>CAR_BEDS = integer</t>
  </si>
  <si>
    <t>Constraint 3</t>
  </si>
  <si>
    <t>MES_BEDS = integer</t>
  </si>
  <si>
    <t>Constraint 4</t>
  </si>
  <si>
    <t>TOM_BEDS &gt;= 0</t>
  </si>
  <si>
    <t>Constraint 5</t>
  </si>
  <si>
    <t>CAR_BEDS &gt;= 0</t>
  </si>
  <si>
    <t>Constraint 6</t>
  </si>
  <si>
    <t>MES_BEDS &gt;= 0</t>
  </si>
  <si>
    <t>Constraint 7</t>
  </si>
  <si>
    <t>Constraint 8</t>
  </si>
  <si>
    <t>Constraint 9</t>
  </si>
  <si>
    <t>Constraint 10</t>
  </si>
  <si>
    <t>TOTAL_BEDS &lt;= TOTAL_BED_CAP</t>
  </si>
  <si>
    <t>Constraint 11</t>
  </si>
  <si>
    <t>TEMP_WORKERS_NEEDED &lt;= TEMP_WORKER_CAP</t>
  </si>
  <si>
    <t>Option</t>
  </si>
  <si>
    <t>Uncheck "Ignore Integer Constraints"</t>
  </si>
  <si>
    <t>Starting Point 1</t>
  </si>
  <si>
    <t>TOM_BEDS = 0, CAR_BEDS = 0, MES_BEDS = 0</t>
  </si>
  <si>
    <t>Starting Point 2</t>
  </si>
  <si>
    <t>TOM_BEDS = 20, CAR_BEDS = 0, MES_BEDS = 0</t>
  </si>
  <si>
    <t>q</t>
  </si>
  <si>
    <t>Labor Hours</t>
  </si>
  <si>
    <t>Labor Cost</t>
  </si>
  <si>
    <t>Fertilizer Cost</t>
  </si>
  <si>
    <t>Variable Cost</t>
  </si>
  <si>
    <t>Sched Cost</t>
  </si>
  <si>
    <t>MC</t>
  </si>
  <si>
    <t>AVC</t>
  </si>
  <si>
    <t>Price</t>
  </si>
  <si>
    <t>P ≈ 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</si>
</sst>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</font>
    <font>
      <i/>
      <sz val="10"/>
      <color rgb="FF595959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4" fontId="0" fillId="0" borderId="0" xfId="0" applyNumberFormat="1"/>
    <xf numFmtId="1" fontId="0" fillId="0" borderId="0" xfId="0" applyNumberFormat="1"/>
    <xf numFmtId="10" fontId="0" fillId="0" borderId="0" xfId="0" applyNumberFormat="1"/>
    <xf numFmtId="2" fontId="0" fillId="0" borderId="0" xfId="0" applyNumberFormat="1"/>
    <xf numFmtId="4" fontId="1" fillId="0" borderId="0" xfId="0" applyNumberFormat="1" applyFont="1"/>
    <xf numFmtId="0" fontId="3" fillId="0" borderId="0" xfId="0" applyFont="1"/>
    <xf numFmtId="0" fontId="1" fillId="0" borderId="1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TOMATOES — Price, MC and AVC by beds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Price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numRef>
              <c:f>'MC Schedules'!$A$3:$A$22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Schedules'!$I$3:$I$22</c:f>
              <c:numCache>
                <c:formatCode>#,##0.00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01-4987-859E-90096A5999AA}"/>
            </c:ext>
          </c:extLst>
        </c:ser>
        <c:ser>
          <c:idx val="1"/>
          <c:order val="1"/>
          <c:tx>
            <c:v>MC</c:v>
          </c:tx>
          <c:spPr>
            <a:ln w="22225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numRef>
              <c:f>'MC Schedules'!$A$3:$A$22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Schedules'!$G$3:$G$22</c:f>
              <c:numCache>
                <c:formatCode>#,##0.00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5795.6250000000036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9390.7174472031256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01-4987-859E-90096A5999AA}"/>
            </c:ext>
          </c:extLst>
        </c:ser>
        <c:ser>
          <c:idx val="2"/>
          <c:order val="2"/>
          <c:tx>
            <c:v>AVC</c:v>
          </c:tx>
          <c:spPr>
            <a:ln w="22225">
              <a:solidFill>
                <a:srgbClr val="2CA02C"/>
              </a:solidFill>
              <a:prstDash val="dash"/>
            </a:ln>
          </c:spPr>
          <c:marker>
            <c:symbol val="none"/>
          </c:marker>
          <c:cat>
            <c:numRef>
              <c:f>'MC Schedules'!$A$3:$A$22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Schedules'!$H$3:$H$22</c:f>
              <c:numCache>
                <c:formatCode>#,##0.00</c:formatCode>
                <c:ptCount val="20"/>
                <c:pt idx="0">
                  <c:v>4317.5</c:v>
                </c:pt>
                <c:pt idx="1">
                  <c:v>4661.25</c:v>
                </c:pt>
                <c:pt idx="2">
                  <c:v>5039.3750000000009</c:v>
                </c:pt>
                <c:pt idx="3">
                  <c:v>5455.3125000000009</c:v>
                </c:pt>
                <c:pt idx="4">
                  <c:v>5896.4218750000009</c:v>
                </c:pt>
                <c:pt idx="5">
                  <c:v>5731.3973958333345</c:v>
                </c:pt>
                <c:pt idx="6">
                  <c:v>5710.5847544642875</c:v>
                </c:pt>
                <c:pt idx="7">
                  <c:v>5791.8575156250017</c:v>
                </c:pt>
                <c:pt idx="8">
                  <c:v>5953.182156076391</c:v>
                </c:pt>
                <c:pt idx="9">
                  <c:v>6182.7225939062537</c:v>
                </c:pt>
                <c:pt idx="10">
                  <c:v>6474.3584896605144</c:v>
                </c:pt>
                <c:pt idx="11">
                  <c:v>6825.461005293233</c:v>
                </c:pt>
                <c:pt idx="12">
                  <c:v>7235.7122340276846</c:v>
                </c:pt>
                <c:pt idx="13">
                  <c:v>7706.4482925952898</c:v>
                </c:pt>
                <c:pt idx="14">
                  <c:v>8240.2835980452946</c:v>
                </c:pt>
                <c:pt idx="15">
                  <c:v>8840.8952911831584</c:v>
                </c:pt>
                <c:pt idx="16">
                  <c:v>9512.903937948533</c:v>
                </c:pt>
                <c:pt idx="17">
                  <c:v>10261.815246776065</c:v>
                </c:pt>
                <c:pt idx="18">
                  <c:v>11094.002619406892</c:v>
                </c:pt>
                <c:pt idx="19">
                  <c:v>12016.718670821265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01-4987-859E-90096A599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10010"/>
        <c:axId val="111110011"/>
      </c:lineChart>
      <c:catAx>
        <c:axId val="111110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Beds (q)</a:t>
                </a:r>
              </a:p>
            </c:rich>
          </c:tx>
          <c:overlay val="0"/>
        </c:title>
        <c:numFmt formatCode="General" sourceLinked="0"/>
        <c:majorTickMark val="cross"/>
        <c:minorTickMark val="cross"/>
        <c:tickLblPos val="nextTo"/>
        <c:crossAx val="111110011"/>
        <c:crosses val="autoZero"/>
        <c:auto val="1"/>
        <c:lblAlgn val="ctr"/>
        <c:lblOffset val="100"/>
        <c:noMultiLvlLbl val="1"/>
      </c:catAx>
      <c:valAx>
        <c:axId val="11111001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r>
                  <a:t>USD per bed</a:t>
                </a:r>
              </a:p>
            </c:rich>
          </c:tx>
          <c:overlay val="0"/>
        </c:title>
        <c:numFmt formatCode="#,##0" sourceLinked="0"/>
        <c:majorTickMark val="cross"/>
        <c:minorTickMark val="cross"/>
        <c:tickLblPos val="nextTo"/>
        <c:crossAx val="1111100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CARROTS — Price, MC and AVC by beds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Price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numRef>
              <c:f>'MC Schedules'!$L$3:$L$22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Schedules'!$T$3:$T$22</c:f>
              <c:numCache>
                <c:formatCode>#,##0.00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0-485B-B9F0-108F6F51431F}"/>
            </c:ext>
          </c:extLst>
        </c:ser>
        <c:ser>
          <c:idx val="1"/>
          <c:order val="1"/>
          <c:tx>
            <c:v>MC</c:v>
          </c:tx>
          <c:spPr>
            <a:ln w="22225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numRef>
              <c:f>'MC Schedules'!$L$3:$L$22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Schedules'!$R$3:$R$22</c:f>
              <c:numCache>
                <c:formatCode>#,##0.00</c:formatCode>
                <c:ptCount val="20"/>
                <c:pt idx="0">
                  <c:v>1507.7083333333333</c:v>
                </c:pt>
                <c:pt idx="1">
                  <c:v>1561.0937499999998</c:v>
                </c:pt>
                <c:pt idx="2">
                  <c:v>1616.481119791667</c:v>
                </c:pt>
                <c:pt idx="3">
                  <c:v>1673.9371744791652</c:v>
                </c:pt>
                <c:pt idx="4">
                  <c:v>1733.530731201171</c:v>
                </c:pt>
                <c:pt idx="5">
                  <c:v>1795.332755025227</c:v>
                </c:pt>
                <c:pt idx="6">
                  <c:v>1859.4164233334868</c:v>
                </c:pt>
                <c:pt idx="7">
                  <c:v>1925.8571920852646</c:v>
                </c:pt>
                <c:pt idx="8">
                  <c:v>1994.7328640100477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2296.2267626316061</c:v>
                </c:pt>
                <c:pt idx="13">
                  <c:v>2378.5311568237667</c:v>
                </c:pt>
                <c:pt idx="14">
                  <c:v>2463.7906289988823</c:v>
                </c:pt>
                <c:pt idx="15">
                  <c:v>2552.1014928097429</c:v>
                </c:pt>
                <c:pt idx="16">
                  <c:v>1670.9013431626554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0-485B-B9F0-108F6F51431F}"/>
            </c:ext>
          </c:extLst>
        </c:ser>
        <c:ser>
          <c:idx val="2"/>
          <c:order val="2"/>
          <c:tx>
            <c:v>AVC</c:v>
          </c:tx>
          <c:spPr>
            <a:ln w="22225">
              <a:solidFill>
                <a:srgbClr val="2CA02C"/>
              </a:solidFill>
              <a:prstDash val="dash"/>
            </a:ln>
          </c:spPr>
          <c:marker>
            <c:symbol val="none"/>
          </c:marker>
          <c:cat>
            <c:numRef>
              <c:f>'MC Schedules'!$L$3:$L$22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Schedules'!$S$3:$S$22</c:f>
              <c:numCache>
                <c:formatCode>#,##0.00</c:formatCode>
                <c:ptCount val="20"/>
                <c:pt idx="0">
                  <c:v>1507.7083333333333</c:v>
                </c:pt>
                <c:pt idx="1">
                  <c:v>1534.4010416666665</c:v>
                </c:pt>
                <c:pt idx="2">
                  <c:v>1561.7610677083333</c:v>
                </c:pt>
                <c:pt idx="3">
                  <c:v>1589.8050944010413</c:v>
                </c:pt>
                <c:pt idx="4">
                  <c:v>1618.5502217610672</c:v>
                </c:pt>
                <c:pt idx="5">
                  <c:v>1648.0139773050939</c:v>
                </c:pt>
                <c:pt idx="6">
                  <c:v>1678.2143267377214</c:v>
                </c:pt>
                <c:pt idx="7">
                  <c:v>1709.1696849061643</c:v>
                </c:pt>
                <c:pt idx="8">
                  <c:v>1740.898927028818</c:v>
                </c:pt>
                <c:pt idx="9">
                  <c:v>1773.4214002045387</c:v>
                </c:pt>
                <c:pt idx="10">
                  <c:v>1806.7569352096523</c:v>
                </c:pt>
                <c:pt idx="11">
                  <c:v>1840.9258585898933</c:v>
                </c:pt>
                <c:pt idx="12">
                  <c:v>1875.9490050546406</c:v>
                </c:pt>
                <c:pt idx="13">
                  <c:v>1911.8477301810067</c:v>
                </c:pt>
                <c:pt idx="14">
                  <c:v>1948.6439234355316</c:v>
                </c:pt>
                <c:pt idx="15">
                  <c:v>1986.3600215214199</c:v>
                </c:pt>
                <c:pt idx="16">
                  <c:v>1967.8036286767867</c:v>
                </c:pt>
                <c:pt idx="17">
                  <c:v>1946.7666932499155</c:v>
                </c:pt>
                <c:pt idx="18">
                  <c:v>1930.5250418677131</c:v>
                </c:pt>
                <c:pt idx="19">
                  <c:v>1918.4460626512475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D0-485B-B9F0-108F6F51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10020"/>
        <c:axId val="111110021"/>
      </c:lineChart>
      <c:catAx>
        <c:axId val="1111100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Beds (q)</a:t>
                </a:r>
              </a:p>
            </c:rich>
          </c:tx>
          <c:overlay val="0"/>
        </c:title>
        <c:numFmt formatCode="General" sourceLinked="0"/>
        <c:majorTickMark val="cross"/>
        <c:minorTickMark val="cross"/>
        <c:tickLblPos val="nextTo"/>
        <c:crossAx val="111110021"/>
        <c:crosses val="autoZero"/>
        <c:auto val="1"/>
        <c:lblAlgn val="ctr"/>
        <c:lblOffset val="100"/>
        <c:noMultiLvlLbl val="1"/>
      </c:catAx>
      <c:valAx>
        <c:axId val="11111002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r>
                  <a:t>USD per bed</a:t>
                </a:r>
              </a:p>
            </c:rich>
          </c:tx>
          <c:overlay val="0"/>
        </c:title>
        <c:numFmt formatCode="#,##0" sourceLinked="0"/>
        <c:majorTickMark val="cross"/>
        <c:minorTickMark val="cross"/>
        <c:tickLblPos val="nextTo"/>
        <c:crossAx val="11111002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MESCLUN — Price, MC and AVC by beds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Price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numRef>
              <c:f>'MC Schedules'!$W$3:$W$32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'MC Schedules'!$AE$3:$AE$32</c:f>
              <c:numCache>
                <c:formatCode>#,##0.00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3-44E8-911F-9754E6C770BF}"/>
            </c:ext>
          </c:extLst>
        </c:ser>
        <c:ser>
          <c:idx val="1"/>
          <c:order val="1"/>
          <c:tx>
            <c:v>MC</c:v>
          </c:tx>
          <c:spPr>
            <a:ln w="22225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numRef>
              <c:f>'MC Schedules'!$W$3:$W$32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'MC Schedules'!$AC$3:$AC$32</c:f>
              <c:numCache>
                <c:formatCode>#,##0.00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2541.8743896484366</c:v>
                </c:pt>
                <c:pt idx="3">
                  <c:v>2582.920684814454</c:v>
                </c:pt>
                <c:pt idx="4">
                  <c:v>2624.7334694862348</c:v>
                </c:pt>
                <c:pt idx="5">
                  <c:v>2667.3254924178127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2845.7479681671139</c:v>
                </c:pt>
                <c:pt idx="10">
                  <c:v>2892.4344824110776</c:v>
                </c:pt>
                <c:pt idx="11">
                  <c:v>2939.9810113911262</c:v>
                </c:pt>
                <c:pt idx="12">
                  <c:v>2988.4017607077876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2261.5611356787776</c:v>
                </c:pt>
                <c:pt idx="25">
                  <c:v>2292.1528465402444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53-44E8-911F-9754E6C770BF}"/>
            </c:ext>
          </c:extLst>
        </c:ser>
        <c:ser>
          <c:idx val="2"/>
          <c:order val="2"/>
          <c:tx>
            <c:v>AVC</c:v>
          </c:tx>
          <c:spPr>
            <a:ln w="22225">
              <a:solidFill>
                <a:srgbClr val="2CA02C"/>
              </a:solidFill>
              <a:prstDash val="dash"/>
            </a:ln>
          </c:spPr>
          <c:marker>
            <c:symbol val="none"/>
          </c:marker>
          <c:cat>
            <c:numRef>
              <c:f>'MC Schedules'!$W$3:$W$32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'MC Schedules'!$AD$3:$AD$32</c:f>
              <c:numCache>
                <c:formatCode>#,##0.00</c:formatCode>
                <c:ptCount val="30"/>
                <c:pt idx="0">
                  <c:v>2462.03125</c:v>
                </c:pt>
                <c:pt idx="1">
                  <c:v>2481.806640625</c:v>
                </c:pt>
                <c:pt idx="2">
                  <c:v>2501.829223632812</c:v>
                </c:pt>
                <c:pt idx="3">
                  <c:v>2522.1020889282227</c:v>
                </c:pt>
                <c:pt idx="4">
                  <c:v>2542.628365039825</c:v>
                </c:pt>
                <c:pt idx="5">
                  <c:v>2563.4112196028232</c:v>
                </c:pt>
                <c:pt idx="6">
                  <c:v>2584.453859847858</c:v>
                </c:pt>
                <c:pt idx="7">
                  <c:v>2605.7595330959566</c:v>
                </c:pt>
                <c:pt idx="8">
                  <c:v>2627.331527259656</c:v>
                </c:pt>
                <c:pt idx="9">
                  <c:v>2649.1731713504018</c:v>
                </c:pt>
                <c:pt idx="10">
                  <c:v>2671.2878359922815</c:v>
                </c:pt>
                <c:pt idx="11">
                  <c:v>2693.6789339421853</c:v>
                </c:pt>
                <c:pt idx="12">
                  <c:v>2716.3499206164624</c:v>
                </c:pt>
                <c:pt idx="13">
                  <c:v>2702.5092901692269</c:v>
                </c:pt>
                <c:pt idx="14">
                  <c:v>2654.6061324868188</c:v>
                </c:pt>
                <c:pt idx="15">
                  <c:v>2614.2887091429038</c:v>
                </c:pt>
                <c:pt idx="16">
                  <c:v>2580.245810654249</c:v>
                </c:pt>
                <c:pt idx="17">
                  <c:v>2551.4580336142244</c:v>
                </c:pt>
                <c:pt idx="18">
                  <c:v>2527.1209958765071</c:v>
                </c:pt>
                <c:pt idx="19">
                  <c:v>2506.5915872723322</c:v>
                </c:pt>
                <c:pt idx="20">
                  <c:v>2489.3495773513314</c:v>
                </c:pt>
                <c:pt idx="21">
                  <c:v>2474.9696938214697</c:v>
                </c:pt>
                <c:pt idx="22">
                  <c:v>2463.1009849547122</c:v>
                </c:pt>
                <c:pt idx="23">
                  <c:v>2453.4513414695448</c:v>
                </c:pt>
                <c:pt idx="24">
                  <c:v>2445.7757332379142</c:v>
                </c:pt>
                <c:pt idx="25">
                  <c:v>2439.8671606726193</c:v>
                </c:pt>
                <c:pt idx="26">
                  <c:v>2435.549616990143</c:v>
                </c:pt>
                <c:pt idx="27">
                  <c:v>2432.6725586310918</c:v>
                </c:pt>
                <c:pt idx="28">
                  <c:v>2431.1065198011725</c:v>
                </c:pt>
                <c:pt idx="29">
                  <c:v>2430.7396041722504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53-44E8-911F-9754E6C77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10030"/>
        <c:axId val="111110031"/>
      </c:lineChart>
      <c:catAx>
        <c:axId val="111110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Beds (q)</a:t>
                </a:r>
              </a:p>
            </c:rich>
          </c:tx>
          <c:overlay val="0"/>
        </c:title>
        <c:numFmt formatCode="General" sourceLinked="0"/>
        <c:majorTickMark val="cross"/>
        <c:minorTickMark val="cross"/>
        <c:tickLblPos val="nextTo"/>
        <c:crossAx val="111110031"/>
        <c:crosses val="autoZero"/>
        <c:auto val="1"/>
        <c:lblAlgn val="ctr"/>
        <c:lblOffset val="100"/>
        <c:noMultiLvlLbl val="1"/>
      </c:catAx>
      <c:valAx>
        <c:axId val="11111003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r>
                  <a:t>USD per bed</a:t>
                </a:r>
              </a:p>
            </c:rich>
          </c:tx>
          <c:overlay val="0"/>
        </c:title>
        <c:numFmt formatCode="#,##0" sourceLinked="0"/>
        <c:majorTickMark val="cross"/>
        <c:minorTickMark val="cross"/>
        <c:tickLblPos val="nextTo"/>
        <c:crossAx val="11111003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10</xdr:col>
      <xdr:colOff>0</xdr:colOff>
      <xdr:row>56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21</xdr:col>
      <xdr:colOff>0</xdr:colOff>
      <xdr:row>56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34</xdr:row>
      <xdr:rowOff>0</xdr:rowOff>
    </xdr:from>
    <xdr:to>
      <xdr:col>32</xdr:col>
      <xdr:colOff>0</xdr:colOff>
      <xdr:row>56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8" customWidth="1"/>
    <col min="2" max="2" width="20" customWidth="1"/>
    <col min="3" max="3" width="26" customWidth="1"/>
    <col min="4" max="4" width="44" customWidth="1"/>
  </cols>
  <sheetData>
    <row r="1" spans="1:4" ht="18.75" x14ac:dyDescent="0.3">
      <c r="A1" s="2" t="s">
        <v>0</v>
      </c>
    </row>
    <row r="2" spans="1:4" x14ac:dyDescent="0.25">
      <c r="A2" s="9" t="s">
        <v>1</v>
      </c>
    </row>
    <row r="3" spans="1:4" x14ac:dyDescent="0.25">
      <c r="A3" s="3" t="s">
        <v>2</v>
      </c>
      <c r="B3" s="3" t="s">
        <v>3</v>
      </c>
      <c r="C3" s="3" t="s">
        <v>3</v>
      </c>
      <c r="D3" s="3" t="s">
        <v>3</v>
      </c>
    </row>
    <row r="4" spans="1:4" x14ac:dyDescent="0.25">
      <c r="A4" s="10" t="s">
        <v>4</v>
      </c>
      <c r="B4" s="10" t="s">
        <v>5</v>
      </c>
      <c r="C4" s="10" t="s">
        <v>6</v>
      </c>
      <c r="D4" s="10" t="s">
        <v>7</v>
      </c>
    </row>
    <row r="5" spans="1:4" x14ac:dyDescent="0.25">
      <c r="A5" s="1" t="s">
        <v>8</v>
      </c>
      <c r="B5" s="5">
        <v>36</v>
      </c>
      <c r="C5" t="s">
        <v>9</v>
      </c>
      <c r="D5" t="s">
        <v>10</v>
      </c>
    </row>
    <row r="6" spans="1:4" x14ac:dyDescent="0.25">
      <c r="A6" s="1" t="s">
        <v>11</v>
      </c>
      <c r="B6" s="4">
        <v>20000</v>
      </c>
      <c r="C6" t="s">
        <v>12</v>
      </c>
      <c r="D6" t="s">
        <v>10</v>
      </c>
    </row>
    <row r="7" spans="1:4" x14ac:dyDescent="0.25">
      <c r="A7" s="1" t="s">
        <v>13</v>
      </c>
      <c r="B7" s="5">
        <v>64</v>
      </c>
      <c r="C7" t="s">
        <v>14</v>
      </c>
      <c r="D7" t="s">
        <v>10</v>
      </c>
    </row>
    <row r="8" spans="1:4" x14ac:dyDescent="0.25">
      <c r="A8" s="1" t="s">
        <v>15</v>
      </c>
      <c r="B8" s="7">
        <v>720</v>
      </c>
      <c r="C8" t="s">
        <v>16</v>
      </c>
      <c r="D8" t="s">
        <v>10</v>
      </c>
    </row>
    <row r="9" spans="1:4" x14ac:dyDescent="0.25">
      <c r="A9" s="1" t="s">
        <v>17</v>
      </c>
      <c r="B9" s="4">
        <v>50000</v>
      </c>
      <c r="C9" t="s">
        <v>12</v>
      </c>
      <c r="D9" t="s">
        <v>10</v>
      </c>
    </row>
    <row r="10" spans="1:4" x14ac:dyDescent="0.25">
      <c r="A10" s="1" t="s">
        <v>18</v>
      </c>
      <c r="B10" s="7">
        <f>FARMER_SALARY/1440</f>
        <v>34.722222222222221</v>
      </c>
      <c r="C10" t="s">
        <v>19</v>
      </c>
      <c r="D10" t="s">
        <v>10</v>
      </c>
    </row>
    <row r="11" spans="1:4" x14ac:dyDescent="0.25">
      <c r="A11" s="1" t="s">
        <v>20</v>
      </c>
      <c r="B11" s="4">
        <v>25000</v>
      </c>
      <c r="C11" t="s">
        <v>12</v>
      </c>
      <c r="D11" t="s">
        <v>10</v>
      </c>
    </row>
    <row r="12" spans="1:4" x14ac:dyDescent="0.25">
      <c r="A12" s="1" t="s">
        <v>21</v>
      </c>
      <c r="B12" s="7">
        <f>TEMP_WORKER_SALARY/1440</f>
        <v>17.361111111111111</v>
      </c>
      <c r="C12" t="s">
        <v>19</v>
      </c>
      <c r="D12" t="s">
        <v>10</v>
      </c>
    </row>
    <row r="13" spans="1:4" x14ac:dyDescent="0.25">
      <c r="A13" s="1" t="s">
        <v>22</v>
      </c>
      <c r="B13" s="7">
        <v>1440</v>
      </c>
      <c r="C13" t="s">
        <v>23</v>
      </c>
      <c r="D13" t="s">
        <v>10</v>
      </c>
    </row>
    <row r="14" spans="1:4" x14ac:dyDescent="0.25">
      <c r="A14" s="1" t="s">
        <v>24</v>
      </c>
      <c r="B14" s="5">
        <v>4</v>
      </c>
      <c r="C14" t="s">
        <v>25</v>
      </c>
      <c r="D14" t="s">
        <v>10</v>
      </c>
    </row>
    <row r="15" spans="1:4" x14ac:dyDescent="0.25">
      <c r="A15" s="3" t="s">
        <v>26</v>
      </c>
      <c r="B15" s="3" t="s">
        <v>3</v>
      </c>
      <c r="C15" s="3" t="s">
        <v>3</v>
      </c>
      <c r="D15" s="3" t="s">
        <v>3</v>
      </c>
    </row>
    <row r="16" spans="1:4" x14ac:dyDescent="0.25">
      <c r="A16" s="10" t="s">
        <v>4</v>
      </c>
      <c r="B16" s="10" t="s">
        <v>5</v>
      </c>
      <c r="C16" s="10" t="s">
        <v>6</v>
      </c>
      <c r="D16" s="10" t="s">
        <v>7</v>
      </c>
    </row>
    <row r="17" spans="1:4" x14ac:dyDescent="0.25">
      <c r="A17" s="1" t="s">
        <v>27</v>
      </c>
      <c r="B17" s="4">
        <v>8800</v>
      </c>
      <c r="C17" t="s">
        <v>28</v>
      </c>
      <c r="D17" t="s">
        <v>29</v>
      </c>
    </row>
    <row r="18" spans="1:4" x14ac:dyDescent="0.25">
      <c r="A18" s="1" t="s">
        <v>30</v>
      </c>
      <c r="B18" s="7">
        <v>2.5</v>
      </c>
      <c r="C18" t="s">
        <v>31</v>
      </c>
      <c r="D18" t="s">
        <v>29</v>
      </c>
    </row>
    <row r="19" spans="1:4" x14ac:dyDescent="0.25">
      <c r="A19" s="1" t="s">
        <v>32</v>
      </c>
      <c r="B19" s="4">
        <v>880</v>
      </c>
      <c r="C19" t="s">
        <v>28</v>
      </c>
      <c r="D19" t="s">
        <v>33</v>
      </c>
    </row>
    <row r="20" spans="1:4" x14ac:dyDescent="0.25">
      <c r="A20" s="1" t="s">
        <v>34</v>
      </c>
      <c r="B20" s="6">
        <v>0.1</v>
      </c>
      <c r="C20" t="s">
        <v>35</v>
      </c>
      <c r="D20" t="s">
        <v>33</v>
      </c>
    </row>
    <row r="21" spans="1:4" x14ac:dyDescent="0.25">
      <c r="A21" s="1" t="s">
        <v>36</v>
      </c>
      <c r="B21" s="5">
        <v>20</v>
      </c>
      <c r="C21" t="s">
        <v>14</v>
      </c>
      <c r="D21" t="s">
        <v>29</v>
      </c>
    </row>
    <row r="22" spans="1:4" x14ac:dyDescent="0.25">
      <c r="A22" s="3" t="s">
        <v>37</v>
      </c>
      <c r="B22" s="3" t="s">
        <v>3</v>
      </c>
      <c r="C22" s="3" t="s">
        <v>3</v>
      </c>
      <c r="D22" s="3" t="s">
        <v>3</v>
      </c>
    </row>
    <row r="23" spans="1:4" x14ac:dyDescent="0.25">
      <c r="A23" s="10" t="s">
        <v>4</v>
      </c>
      <c r="B23" s="10" t="s">
        <v>5</v>
      </c>
      <c r="C23" s="10" t="s">
        <v>6</v>
      </c>
      <c r="D23" s="10" t="s">
        <v>7</v>
      </c>
    </row>
    <row r="24" spans="1:4" x14ac:dyDescent="0.25">
      <c r="A24" s="1" t="s">
        <v>38</v>
      </c>
      <c r="B24" s="4">
        <v>2094</v>
      </c>
      <c r="C24" t="s">
        <v>28</v>
      </c>
      <c r="D24" t="s">
        <v>29</v>
      </c>
    </row>
    <row r="25" spans="1:4" x14ac:dyDescent="0.25">
      <c r="A25" s="1" t="s">
        <v>39</v>
      </c>
      <c r="B25" s="7">
        <f>TOM_HRS/3</f>
        <v>0.83333333333333337</v>
      </c>
      <c r="C25" t="s">
        <v>31</v>
      </c>
      <c r="D25" t="s">
        <v>29</v>
      </c>
    </row>
    <row r="26" spans="1:4" x14ac:dyDescent="0.25">
      <c r="A26" s="1" t="s">
        <v>40</v>
      </c>
      <c r="B26" s="4">
        <v>440</v>
      </c>
      <c r="C26" t="s">
        <v>28</v>
      </c>
      <c r="D26" t="s">
        <v>33</v>
      </c>
    </row>
    <row r="27" spans="1:4" x14ac:dyDescent="0.25">
      <c r="A27" s="1" t="s">
        <v>41</v>
      </c>
      <c r="B27" s="6">
        <v>2.5000000000000001E-2</v>
      </c>
      <c r="C27" t="s">
        <v>35</v>
      </c>
      <c r="D27" t="s">
        <v>33</v>
      </c>
    </row>
    <row r="28" spans="1:4" x14ac:dyDescent="0.25">
      <c r="A28" s="1" t="s">
        <v>42</v>
      </c>
      <c r="B28" s="5">
        <v>20</v>
      </c>
      <c r="C28" t="s">
        <v>14</v>
      </c>
      <c r="D28" t="s">
        <v>29</v>
      </c>
    </row>
    <row r="29" spans="1:4" x14ac:dyDescent="0.25">
      <c r="A29" s="3" t="s">
        <v>43</v>
      </c>
      <c r="B29" s="3" t="s">
        <v>3</v>
      </c>
      <c r="C29" s="3" t="s">
        <v>3</v>
      </c>
      <c r="D29" s="3" t="s">
        <v>3</v>
      </c>
    </row>
    <row r="30" spans="1:4" x14ac:dyDescent="0.25">
      <c r="A30" s="10" t="s">
        <v>4</v>
      </c>
      <c r="B30" s="10" t="s">
        <v>5</v>
      </c>
      <c r="C30" s="10" t="s">
        <v>6</v>
      </c>
      <c r="D30" s="10" t="s">
        <v>7</v>
      </c>
    </row>
    <row r="31" spans="1:4" x14ac:dyDescent="0.25">
      <c r="A31" s="1" t="s">
        <v>44</v>
      </c>
      <c r="B31" s="4">
        <v>2700</v>
      </c>
      <c r="C31" t="s">
        <v>28</v>
      </c>
      <c r="D31" t="s">
        <v>29</v>
      </c>
    </row>
    <row r="32" spans="1:4" x14ac:dyDescent="0.25">
      <c r="A32" s="1" t="s">
        <v>45</v>
      </c>
      <c r="B32" s="7">
        <v>1.25</v>
      </c>
      <c r="C32" t="s">
        <v>31</v>
      </c>
      <c r="D32" t="s">
        <v>29</v>
      </c>
    </row>
    <row r="33" spans="1:4" x14ac:dyDescent="0.25">
      <c r="A33" s="1" t="s">
        <v>46</v>
      </c>
      <c r="B33" s="4">
        <v>880</v>
      </c>
      <c r="C33" t="s">
        <v>28</v>
      </c>
      <c r="D33" t="s">
        <v>33</v>
      </c>
    </row>
    <row r="34" spans="1:4" x14ac:dyDescent="0.25">
      <c r="A34" s="1" t="s">
        <v>47</v>
      </c>
      <c r="B34" s="6">
        <v>1.2500000000000001E-2</v>
      </c>
      <c r="C34" t="s">
        <v>35</v>
      </c>
      <c r="D34" t="s">
        <v>33</v>
      </c>
    </row>
    <row r="35" spans="1:4" x14ac:dyDescent="0.25">
      <c r="A35" s="1" t="s">
        <v>48</v>
      </c>
      <c r="B35" s="5">
        <v>30</v>
      </c>
      <c r="C35" t="s">
        <v>14</v>
      </c>
      <c r="D35" t="s">
        <v>29</v>
      </c>
    </row>
    <row r="36" spans="1:4" x14ac:dyDescent="0.25">
      <c r="A36" s="3" t="s">
        <v>49</v>
      </c>
      <c r="B36" s="3" t="s">
        <v>3</v>
      </c>
      <c r="C36" s="3" t="s">
        <v>3</v>
      </c>
      <c r="D36" s="3" t="s">
        <v>3</v>
      </c>
    </row>
    <row r="37" spans="1:4" x14ac:dyDescent="0.25">
      <c r="A37" s="10" t="s">
        <v>4</v>
      </c>
      <c r="B37" s="10" t="s">
        <v>5</v>
      </c>
      <c r="C37" s="10" t="s">
        <v>6</v>
      </c>
      <c r="D37" s="10" t="s">
        <v>50</v>
      </c>
    </row>
    <row r="38" spans="1:4" x14ac:dyDescent="0.25">
      <c r="A38" s="1" t="s">
        <v>51</v>
      </c>
      <c r="B38" s="5">
        <v>10</v>
      </c>
      <c r="C38" t="s">
        <v>14</v>
      </c>
      <c r="D38" t="s">
        <v>52</v>
      </c>
    </row>
    <row r="39" spans="1:4" x14ac:dyDescent="0.25">
      <c r="A39" s="1" t="s">
        <v>53</v>
      </c>
      <c r="B39" s="5">
        <v>20</v>
      </c>
      <c r="C39" t="s">
        <v>14</v>
      </c>
      <c r="D39" t="s">
        <v>52</v>
      </c>
    </row>
    <row r="40" spans="1:4" x14ac:dyDescent="0.25">
      <c r="A40" s="1" t="s">
        <v>54</v>
      </c>
      <c r="B40" s="5">
        <v>30</v>
      </c>
      <c r="C40" t="s">
        <v>14</v>
      </c>
      <c r="D40" t="s">
        <v>52</v>
      </c>
    </row>
    <row r="41" spans="1:4" x14ac:dyDescent="0.25">
      <c r="A41" s="3" t="s">
        <v>55</v>
      </c>
      <c r="B41" s="3" t="s">
        <v>3</v>
      </c>
      <c r="C41" s="3" t="s">
        <v>3</v>
      </c>
      <c r="D41" s="3" t="s">
        <v>3</v>
      </c>
    </row>
    <row r="42" spans="1:4" x14ac:dyDescent="0.25">
      <c r="A42" s="10" t="s">
        <v>4</v>
      </c>
      <c r="B42" s="10" t="s">
        <v>5</v>
      </c>
      <c r="C42" s="10" t="s">
        <v>6</v>
      </c>
      <c r="D42" s="10" t="s">
        <v>56</v>
      </c>
    </row>
    <row r="43" spans="1:4" x14ac:dyDescent="0.25">
      <c r="A43" s="1" t="s">
        <v>57</v>
      </c>
      <c r="B43" s="7">
        <f>TOM_BEDS*TOM_HRS*WEEKS*(1+TOM_DIM_PCT)^TOM_BEDS</f>
        <v>2334.3682140900019</v>
      </c>
      <c r="C43" t="s">
        <v>58</v>
      </c>
      <c r="D43" t="s">
        <v>59</v>
      </c>
    </row>
    <row r="44" spans="1:4" x14ac:dyDescent="0.25">
      <c r="A44" s="1" t="s">
        <v>60</v>
      </c>
      <c r="B44" s="7">
        <f>CAR_BEDS*CAR_HRS*WEEKS*(1+CAR_DIM_PCT)^CAR_BEDS</f>
        <v>983.16986417423732</v>
      </c>
      <c r="C44" t="s">
        <v>58</v>
      </c>
      <c r="D44" t="s">
        <v>59</v>
      </c>
    </row>
    <row r="45" spans="1:4" x14ac:dyDescent="0.25">
      <c r="A45" s="1" t="s">
        <v>61</v>
      </c>
      <c r="B45" s="7">
        <f>MES_BEDS*MES_HRS*WEEKS*(1+MES_DIM_PCT)^MES_BEDS</f>
        <v>1959.6780360096488</v>
      </c>
      <c r="C45" t="s">
        <v>58</v>
      </c>
      <c r="D45" t="s">
        <v>59</v>
      </c>
    </row>
    <row r="46" spans="1:4" x14ac:dyDescent="0.25">
      <c r="A46" s="1" t="s">
        <v>62</v>
      </c>
      <c r="B46" s="7">
        <f>TOM_LABOR_HOURS+CAR_LABOR_HOURS+MES_LABOR_HOURS</f>
        <v>5277.2161142738878</v>
      </c>
      <c r="C46" t="s">
        <v>58</v>
      </c>
      <c r="D46" t="s">
        <v>63</v>
      </c>
    </row>
    <row r="47" spans="1:4" x14ac:dyDescent="0.25">
      <c r="A47" s="3" t="s">
        <v>64</v>
      </c>
      <c r="B47" s="3" t="s">
        <v>3</v>
      </c>
      <c r="C47" s="3" t="s">
        <v>3</v>
      </c>
      <c r="D47" s="3" t="s">
        <v>3</v>
      </c>
    </row>
    <row r="48" spans="1:4" x14ac:dyDescent="0.25">
      <c r="A48" s="10" t="s">
        <v>4</v>
      </c>
      <c r="B48" s="10" t="s">
        <v>5</v>
      </c>
      <c r="C48" s="10" t="s">
        <v>6</v>
      </c>
      <c r="D48" s="10" t="s">
        <v>56</v>
      </c>
    </row>
    <row r="49" spans="1:4" x14ac:dyDescent="0.25">
      <c r="A49" s="1" t="s">
        <v>65</v>
      </c>
      <c r="B49" s="7">
        <f>MIN(TOTAL_LABOR_HOURS,FARMER_HOURS)</f>
        <v>720</v>
      </c>
      <c r="C49" t="s">
        <v>58</v>
      </c>
      <c r="D49" t="s">
        <v>66</v>
      </c>
    </row>
    <row r="50" spans="1:4" x14ac:dyDescent="0.25">
      <c r="A50" s="1" t="s">
        <v>67</v>
      </c>
      <c r="B50" s="7">
        <f>MAX(TOTAL_LABOR_HOURS-FARMER_HOURS,0)</f>
        <v>4557.2161142738878</v>
      </c>
      <c r="C50" t="s">
        <v>58</v>
      </c>
      <c r="D50" t="s">
        <v>68</v>
      </c>
    </row>
    <row r="51" spans="1:4" x14ac:dyDescent="0.25">
      <c r="A51" s="1" t="s">
        <v>69</v>
      </c>
      <c r="B51" s="7">
        <f>TEMP_HRS/TEMP_WORKER_HOURS</f>
        <v>3.1647334126901998</v>
      </c>
      <c r="C51" t="s">
        <v>25</v>
      </c>
      <c r="D51" t="s">
        <v>70</v>
      </c>
    </row>
    <row r="52" spans="1:4" x14ac:dyDescent="0.25">
      <c r="A52" s="1" t="s">
        <v>71</v>
      </c>
      <c r="B52" s="4">
        <f>(PERM_HRS_USED*FARMER_LABOR_RATE)+(TEMP_HRS*TEMP_LABOR_RATE)</f>
        <v>104118.335317255</v>
      </c>
      <c r="C52" t="s">
        <v>12</v>
      </c>
      <c r="D52" t="s">
        <v>72</v>
      </c>
    </row>
    <row r="53" spans="1:4" x14ac:dyDescent="0.25">
      <c r="A53" s="1" t="s">
        <v>73</v>
      </c>
      <c r="B53" s="7">
        <f>IF(TOTAL_LABOR_HOURS=0,0,LABOR_COST/TOTAL_LABOR_HOURS)</f>
        <v>19.729784239010844</v>
      </c>
      <c r="C53" t="s">
        <v>19</v>
      </c>
      <c r="D53" t="s">
        <v>74</v>
      </c>
    </row>
    <row r="54" spans="1:4" x14ac:dyDescent="0.25">
      <c r="A54" s="3" t="s">
        <v>75</v>
      </c>
      <c r="B54" s="3" t="s">
        <v>3</v>
      </c>
      <c r="C54" s="3" t="s">
        <v>3</v>
      </c>
      <c r="D54" s="3" t="s">
        <v>3</v>
      </c>
    </row>
    <row r="55" spans="1:4" x14ac:dyDescent="0.25">
      <c r="A55" s="10" t="s">
        <v>4</v>
      </c>
      <c r="B55" s="10" t="s">
        <v>5</v>
      </c>
      <c r="C55" s="10" t="s">
        <v>6</v>
      </c>
      <c r="D55" s="10" t="s">
        <v>56</v>
      </c>
    </row>
    <row r="56" spans="1:4" x14ac:dyDescent="0.25">
      <c r="A56" s="1" t="s">
        <v>76</v>
      </c>
      <c r="B56" s="4">
        <f>TOM_LABOR_HOURS*BLENDED_RATE</f>
        <v>46056.581198400811</v>
      </c>
      <c r="C56" t="s">
        <v>12</v>
      </c>
      <c r="D56" t="s">
        <v>77</v>
      </c>
    </row>
    <row r="57" spans="1:4" x14ac:dyDescent="0.25">
      <c r="A57" s="1" t="s">
        <v>78</v>
      </c>
      <c r="B57" s="4">
        <f>CAR_LABOR_HOURS*BLENDED_RATE</f>
        <v>19397.7292904553</v>
      </c>
      <c r="C57" t="s">
        <v>12</v>
      </c>
      <c r="D57" t="s">
        <v>77</v>
      </c>
    </row>
    <row r="58" spans="1:4" x14ac:dyDescent="0.25">
      <c r="A58" s="1" t="s">
        <v>79</v>
      </c>
      <c r="B58" s="4">
        <f>MES_LABOR_HOURS*BLENDED_RATE</f>
        <v>38664.024828398891</v>
      </c>
      <c r="C58" t="s">
        <v>12</v>
      </c>
      <c r="D58" t="s">
        <v>77</v>
      </c>
    </row>
    <row r="59" spans="1:4" x14ac:dyDescent="0.25">
      <c r="A59" s="9" t="s">
        <v>80</v>
      </c>
    </row>
    <row r="60" spans="1:4" x14ac:dyDescent="0.25">
      <c r="A60" s="3" t="s">
        <v>81</v>
      </c>
      <c r="B60" s="3" t="s">
        <v>3</v>
      </c>
      <c r="C60" s="3" t="s">
        <v>3</v>
      </c>
      <c r="D60" s="3" t="s">
        <v>3</v>
      </c>
    </row>
    <row r="61" spans="1:4" x14ac:dyDescent="0.25">
      <c r="A61" s="10" t="s">
        <v>4</v>
      </c>
      <c r="B61" s="10" t="s">
        <v>5</v>
      </c>
      <c r="C61" s="10" t="s">
        <v>6</v>
      </c>
      <c r="D61" s="10" t="s">
        <v>56</v>
      </c>
    </row>
    <row r="62" spans="1:4" x14ac:dyDescent="0.25">
      <c r="A62" s="1" t="s">
        <v>82</v>
      </c>
      <c r="B62" s="4">
        <f>TOM_BEDS*TOM_PRICE</f>
        <v>88000</v>
      </c>
      <c r="C62" t="s">
        <v>12</v>
      </c>
      <c r="D62" t="s">
        <v>83</v>
      </c>
    </row>
    <row r="63" spans="1:4" x14ac:dyDescent="0.25">
      <c r="A63" s="1" t="s">
        <v>84</v>
      </c>
      <c r="B63" s="4">
        <f>CAR_BEDS*CAR_PRICE</f>
        <v>41880</v>
      </c>
      <c r="C63" t="s">
        <v>12</v>
      </c>
      <c r="D63" t="s">
        <v>83</v>
      </c>
    </row>
    <row r="64" spans="1:4" x14ac:dyDescent="0.25">
      <c r="A64" s="1" t="s">
        <v>85</v>
      </c>
      <c r="B64" s="4">
        <f>MES_BEDS*MES_PRICE</f>
        <v>81000</v>
      </c>
      <c r="C64" t="s">
        <v>12</v>
      </c>
      <c r="D64" t="s">
        <v>83</v>
      </c>
    </row>
    <row r="65" spans="1:4" x14ac:dyDescent="0.25">
      <c r="A65" s="1" t="s">
        <v>86</v>
      </c>
      <c r="B65" s="4">
        <f>TOM_REVENUE+CAR_REVENUE+MES_REVENUE</f>
        <v>210880</v>
      </c>
      <c r="C65" t="s">
        <v>12</v>
      </c>
      <c r="D65" t="s">
        <v>87</v>
      </c>
    </row>
    <row r="66" spans="1:4" x14ac:dyDescent="0.25">
      <c r="A66" s="3" t="s">
        <v>88</v>
      </c>
      <c r="B66" s="3" t="s">
        <v>3</v>
      </c>
      <c r="C66" s="3" t="s">
        <v>3</v>
      </c>
      <c r="D66" s="3" t="s">
        <v>3</v>
      </c>
    </row>
    <row r="67" spans="1:4" x14ac:dyDescent="0.25">
      <c r="A67" s="10" t="s">
        <v>4</v>
      </c>
      <c r="B67" s="10" t="s">
        <v>5</v>
      </c>
      <c r="C67" s="10" t="s">
        <v>6</v>
      </c>
      <c r="D67" s="10" t="s">
        <v>56</v>
      </c>
    </row>
    <row r="68" spans="1:4" x14ac:dyDescent="0.25">
      <c r="A68" s="1" t="s">
        <v>89</v>
      </c>
      <c r="B68" s="4">
        <f>TOM_BEDS*TOM_FERTILIZER</f>
        <v>8800</v>
      </c>
      <c r="C68" t="s">
        <v>12</v>
      </c>
      <c r="D68" t="s">
        <v>90</v>
      </c>
    </row>
    <row r="69" spans="1:4" x14ac:dyDescent="0.25">
      <c r="A69" s="1" t="s">
        <v>91</v>
      </c>
      <c r="B69" s="4">
        <f>CAR_BEDS*CAR_FERTILIZER</f>
        <v>8800</v>
      </c>
      <c r="C69" t="s">
        <v>12</v>
      </c>
      <c r="D69" t="s">
        <v>90</v>
      </c>
    </row>
    <row r="70" spans="1:4" x14ac:dyDescent="0.25">
      <c r="A70" s="1" t="s">
        <v>92</v>
      </c>
      <c r="B70" s="4">
        <f>MES_BEDS*MES_FERTILIZER</f>
        <v>26400</v>
      </c>
      <c r="C70" t="s">
        <v>12</v>
      </c>
      <c r="D70" t="s">
        <v>90</v>
      </c>
    </row>
    <row r="71" spans="1:4" x14ac:dyDescent="0.25">
      <c r="A71" s="1" t="s">
        <v>93</v>
      </c>
      <c r="B71" s="4">
        <f>TOM_FERT_COST+CAR_FERT_COST+MES_FERT_COST</f>
        <v>44000</v>
      </c>
      <c r="C71" t="s">
        <v>12</v>
      </c>
      <c r="D71" t="s">
        <v>94</v>
      </c>
    </row>
    <row r="72" spans="1:4" x14ac:dyDescent="0.25">
      <c r="A72" s="3" t="s">
        <v>95</v>
      </c>
      <c r="B72" s="3" t="s">
        <v>3</v>
      </c>
      <c r="C72" s="3" t="s">
        <v>3</v>
      </c>
      <c r="D72" s="3" t="s">
        <v>3</v>
      </c>
    </row>
    <row r="73" spans="1:4" x14ac:dyDescent="0.25">
      <c r="A73" s="10" t="s">
        <v>4</v>
      </c>
      <c r="B73" s="10" t="s">
        <v>5</v>
      </c>
      <c r="C73" s="10" t="s">
        <v>6</v>
      </c>
      <c r="D73" s="10" t="s">
        <v>56</v>
      </c>
    </row>
    <row r="74" spans="1:4" x14ac:dyDescent="0.25">
      <c r="A74" s="1" t="s">
        <v>96</v>
      </c>
      <c r="B74" s="4">
        <f>LABOR_COST+TOTAL_FERTILIZER_COST+FIXED_COSTS</f>
        <v>168118.335317255</v>
      </c>
      <c r="C74" t="s">
        <v>12</v>
      </c>
      <c r="D74" t="s">
        <v>97</v>
      </c>
    </row>
    <row r="75" spans="1:4" x14ac:dyDescent="0.25">
      <c r="A75" s="1" t="s">
        <v>98</v>
      </c>
      <c r="B75" s="8">
        <f>TOTAL_REVENUE-LABOR_COST-TOTAL_FERTILIZER_COST-FIXED_COSTS</f>
        <v>42761.664682745002</v>
      </c>
      <c r="C75" t="s">
        <v>12</v>
      </c>
      <c r="D75" t="s">
        <v>99</v>
      </c>
    </row>
    <row r="76" spans="1:4" x14ac:dyDescent="0.25">
      <c r="A76" s="3" t="s">
        <v>100</v>
      </c>
      <c r="B76" s="3" t="s">
        <v>3</v>
      </c>
      <c r="C76" s="3" t="s">
        <v>3</v>
      </c>
      <c r="D76" s="3" t="s">
        <v>3</v>
      </c>
    </row>
    <row r="77" spans="1:4" x14ac:dyDescent="0.25">
      <c r="A77" s="10" t="s">
        <v>4</v>
      </c>
      <c r="B77" s="10" t="s">
        <v>5</v>
      </c>
      <c r="C77" s="10" t="s">
        <v>6</v>
      </c>
      <c r="D77" s="10" t="s">
        <v>101</v>
      </c>
    </row>
    <row r="78" spans="1:4" x14ac:dyDescent="0.25">
      <c r="A78" s="1" t="s">
        <v>102</v>
      </c>
      <c r="B78" s="5">
        <f>TOM_BEDS+CAR_BEDS+MES_BEDS</f>
        <v>60</v>
      </c>
      <c r="C78" t="s">
        <v>14</v>
      </c>
      <c r="D78" t="s">
        <v>103</v>
      </c>
    </row>
    <row r="79" spans="1:4" x14ac:dyDescent="0.25">
      <c r="A79" s="1" t="s">
        <v>104</v>
      </c>
      <c r="B79" s="1" t="str">
        <f>IF(TOTAL_BEDS&lt;=TOTAL_BED_CAP,"PASS","FAIL")</f>
        <v>PASS</v>
      </c>
      <c r="C79" t="s">
        <v>3</v>
      </c>
      <c r="D79" t="s">
        <v>105</v>
      </c>
    </row>
    <row r="80" spans="1:4" x14ac:dyDescent="0.25">
      <c r="A80" s="1" t="s">
        <v>106</v>
      </c>
      <c r="B80" s="1" t="str">
        <f>IF(TEMP_WORKERS_NEEDED&lt;=TEMP_WORKER_CAP,"PASS","FAIL")</f>
        <v>PASS</v>
      </c>
      <c r="C80" t="s">
        <v>3</v>
      </c>
      <c r="D80" t="s">
        <v>107</v>
      </c>
    </row>
    <row r="81" spans="1:4" x14ac:dyDescent="0.25">
      <c r="A81" s="1" t="s">
        <v>108</v>
      </c>
      <c r="B81" s="1" t="str">
        <f>IF(TOM_BEDS&lt;=TOM_MAX_BEDS,"PASS","FAIL")</f>
        <v>PASS</v>
      </c>
      <c r="C81" t="s">
        <v>3</v>
      </c>
      <c r="D81" t="s">
        <v>109</v>
      </c>
    </row>
    <row r="82" spans="1:4" x14ac:dyDescent="0.25">
      <c r="A82" s="1" t="s">
        <v>110</v>
      </c>
      <c r="B82" s="1" t="str">
        <f>IF(CAR_BEDS&lt;=CAR_MAX_BEDS,"PASS","FAIL")</f>
        <v>PASS</v>
      </c>
      <c r="C82" t="s">
        <v>3</v>
      </c>
      <c r="D82" t="s">
        <v>111</v>
      </c>
    </row>
    <row r="83" spans="1:4" x14ac:dyDescent="0.25">
      <c r="A83" s="1" t="s">
        <v>112</v>
      </c>
      <c r="B83" s="1" t="str">
        <f>IF(MES_BEDS&lt;=MES_MAX_BEDS,"PASS","FAIL")</f>
        <v>PASS</v>
      </c>
      <c r="C83" t="s">
        <v>3</v>
      </c>
      <c r="D83" t="s">
        <v>113</v>
      </c>
    </row>
    <row r="84" spans="1:4" x14ac:dyDescent="0.25">
      <c r="A84" s="3" t="s">
        <v>114</v>
      </c>
      <c r="B84" s="3" t="s">
        <v>3</v>
      </c>
      <c r="C84" s="3" t="s">
        <v>3</v>
      </c>
      <c r="D84" s="3" t="s">
        <v>3</v>
      </c>
    </row>
    <row r="85" spans="1:4" x14ac:dyDescent="0.25">
      <c r="A85" s="10" t="s">
        <v>4</v>
      </c>
      <c r="B85" s="10" t="s">
        <v>5</v>
      </c>
      <c r="C85" s="10" t="s">
        <v>6</v>
      </c>
      <c r="D85" s="10" t="s">
        <v>50</v>
      </c>
    </row>
    <row r="86" spans="1:4" x14ac:dyDescent="0.25">
      <c r="A86" s="1" t="s">
        <v>115</v>
      </c>
      <c r="B86" s="5">
        <f>TOM_BEDS</f>
        <v>10</v>
      </c>
      <c r="C86" t="s">
        <v>14</v>
      </c>
      <c r="D86" t="s">
        <v>116</v>
      </c>
    </row>
    <row r="87" spans="1:4" x14ac:dyDescent="0.25">
      <c r="A87" s="1" t="s">
        <v>117</v>
      </c>
      <c r="B87" s="5">
        <f>CAR_BEDS</f>
        <v>20</v>
      </c>
      <c r="C87" t="s">
        <v>14</v>
      </c>
      <c r="D87" t="s">
        <v>118</v>
      </c>
    </row>
    <row r="88" spans="1:4" x14ac:dyDescent="0.25">
      <c r="A88" s="1" t="s">
        <v>119</v>
      </c>
      <c r="B88" s="5">
        <f>MES_BEDS</f>
        <v>30</v>
      </c>
      <c r="C88" t="s">
        <v>14</v>
      </c>
      <c r="D88" t="s">
        <v>120</v>
      </c>
    </row>
    <row r="89" spans="1:4" x14ac:dyDescent="0.25">
      <c r="A89" s="3" t="s">
        <v>121</v>
      </c>
      <c r="B89" s="3" t="s">
        <v>3</v>
      </c>
      <c r="C89" s="3" t="s">
        <v>3</v>
      </c>
      <c r="D89" s="3" t="s">
        <v>3</v>
      </c>
    </row>
    <row r="90" spans="1:4" x14ac:dyDescent="0.25">
      <c r="A90" s="10" t="s">
        <v>122</v>
      </c>
      <c r="B90" s="10" t="s">
        <v>123</v>
      </c>
      <c r="C90" s="10" t="s">
        <v>124</v>
      </c>
      <c r="D90" s="10" t="s">
        <v>125</v>
      </c>
    </row>
    <row r="91" spans="1:4" x14ac:dyDescent="0.25">
      <c r="A91" t="s">
        <v>126</v>
      </c>
      <c r="B91" s="5">
        <f>TOM_BEDS</f>
        <v>10</v>
      </c>
      <c r="C91" s="5">
        <v>10</v>
      </c>
      <c r="D91" s="1" t="str">
        <f t="shared" ref="D91:D101" si="0">IF(ROUND(B91,2)=ROUND(C91,2),"PASS","FAIL")</f>
        <v>PASS</v>
      </c>
    </row>
    <row r="92" spans="1:4" x14ac:dyDescent="0.25">
      <c r="A92" t="s">
        <v>127</v>
      </c>
      <c r="B92" s="5">
        <f>CAR_BEDS</f>
        <v>20</v>
      </c>
      <c r="C92" s="5">
        <v>20</v>
      </c>
      <c r="D92" s="1" t="str">
        <f t="shared" si="0"/>
        <v>PASS</v>
      </c>
    </row>
    <row r="93" spans="1:4" x14ac:dyDescent="0.25">
      <c r="A93" t="s">
        <v>128</v>
      </c>
      <c r="B93" s="5">
        <f>MES_BEDS</f>
        <v>30</v>
      </c>
      <c r="C93" s="5">
        <v>30</v>
      </c>
      <c r="D93" s="1" t="str">
        <f t="shared" si="0"/>
        <v>PASS</v>
      </c>
    </row>
    <row r="94" spans="1:4" x14ac:dyDescent="0.25">
      <c r="A94" t="s">
        <v>129</v>
      </c>
      <c r="B94" s="5">
        <f>TOTAL_BEDS</f>
        <v>60</v>
      </c>
      <c r="C94" s="5">
        <v>60</v>
      </c>
      <c r="D94" s="1" t="str">
        <f t="shared" si="0"/>
        <v>PASS</v>
      </c>
    </row>
    <row r="95" spans="1:4" x14ac:dyDescent="0.25">
      <c r="A95" t="s">
        <v>130</v>
      </c>
      <c r="B95" s="4">
        <f>ROUND(PROFIT,0)</f>
        <v>42762</v>
      </c>
      <c r="C95" s="4">
        <v>42762</v>
      </c>
      <c r="D95" s="1" t="str">
        <f t="shared" si="0"/>
        <v>PASS</v>
      </c>
    </row>
    <row r="96" spans="1:4" x14ac:dyDescent="0.25">
      <c r="A96" t="s">
        <v>131</v>
      </c>
      <c r="B96" s="7">
        <f>'MC Schedules'!$B$3</f>
        <v>99.000000000000014</v>
      </c>
      <c r="C96" s="7">
        <v>99</v>
      </c>
      <c r="D96" s="1" t="str">
        <f t="shared" si="0"/>
        <v>PASS</v>
      </c>
    </row>
    <row r="97" spans="1:4" x14ac:dyDescent="0.25">
      <c r="A97" t="s">
        <v>132</v>
      </c>
      <c r="B97" s="4">
        <f>'MC Schedules'!$G$3</f>
        <v>4317.5</v>
      </c>
      <c r="C97" s="4">
        <v>4317.5</v>
      </c>
      <c r="D97" s="1" t="str">
        <f t="shared" si="0"/>
        <v>PASS</v>
      </c>
    </row>
    <row r="98" spans="1:4" x14ac:dyDescent="0.25">
      <c r="A98" t="s">
        <v>133</v>
      </c>
      <c r="B98" s="4">
        <f>'MC Schedules'!$H$3</f>
        <v>4317.5</v>
      </c>
      <c r="C98" s="4">
        <v>4317.5</v>
      </c>
      <c r="D98" s="1" t="str">
        <f t="shared" si="0"/>
        <v>PASS</v>
      </c>
    </row>
    <row r="99" spans="1:4" x14ac:dyDescent="0.25">
      <c r="A99" t="s">
        <v>134</v>
      </c>
      <c r="B99" s="5">
        <f>INDEX('MC Schedules'!$A$3:$A$22,MATCH("P ≈ MC",'MC Schedules'!$J$3:$J$22,0))</f>
        <v>10</v>
      </c>
      <c r="C99" s="5">
        <v>10</v>
      </c>
      <c r="D99" s="1" t="str">
        <f t="shared" si="0"/>
        <v>PASS</v>
      </c>
    </row>
    <row r="100" spans="1:4" x14ac:dyDescent="0.25">
      <c r="A100" t="s">
        <v>135</v>
      </c>
      <c r="B100" s="5">
        <f>INDEX('MC Schedules'!$L$3:$L$22,MATCH("P ≈ MC",'MC Schedules'!$U$3:$U$22,0))</f>
        <v>10</v>
      </c>
      <c r="C100" s="5">
        <v>10</v>
      </c>
      <c r="D100" s="1" t="str">
        <f t="shared" si="0"/>
        <v>PASS</v>
      </c>
    </row>
    <row r="101" spans="1:4" x14ac:dyDescent="0.25">
      <c r="A101" t="s">
        <v>136</v>
      </c>
      <c r="B101" s="5">
        <f>INDEX('MC Schedules'!$W$3:$W$32,MATCH("P ≈ MC",'MC Schedules'!$AF$3:$AF$32,0))</f>
        <v>6</v>
      </c>
      <c r="C101" s="5">
        <v>6</v>
      </c>
      <c r="D101" s="1" t="str">
        <f t="shared" si="0"/>
        <v>PASS</v>
      </c>
    </row>
    <row r="102" spans="1:4" x14ac:dyDescent="0.25">
      <c r="A102" s="1" t="s">
        <v>137</v>
      </c>
      <c r="B102" s="1" t="str">
        <f>IF(COUNTIF(D91:D101,"FAIL")=0,"PASS","FAIL")</f>
        <v>PASS</v>
      </c>
    </row>
    <row r="103" spans="1:4" x14ac:dyDescent="0.25">
      <c r="A103" s="3" t="s">
        <v>138</v>
      </c>
      <c r="B103" s="3" t="s">
        <v>3</v>
      </c>
      <c r="C103" s="3" t="s">
        <v>3</v>
      </c>
      <c r="D103" s="3" t="s">
        <v>3</v>
      </c>
    </row>
    <row r="104" spans="1:4" x14ac:dyDescent="0.25">
      <c r="A104" s="10" t="s">
        <v>139</v>
      </c>
      <c r="B104" s="10" t="s">
        <v>140</v>
      </c>
      <c r="C104" s="10" t="s">
        <v>124</v>
      </c>
      <c r="D104" s="10" t="s">
        <v>125</v>
      </c>
    </row>
    <row r="105" spans="1:4" x14ac:dyDescent="0.25">
      <c r="A105" t="s">
        <v>141</v>
      </c>
      <c r="B105" s="5">
        <f>SUMPRODUCT(--ISERROR(Model!$B$4:$B$88))</f>
        <v>0</v>
      </c>
      <c r="C105" s="5">
        <v>0</v>
      </c>
      <c r="D105" s="1" t="str">
        <f>IF(B105=0,"PASS","FAIL")</f>
        <v>PASS</v>
      </c>
    </row>
    <row r="106" spans="1:4" x14ac:dyDescent="0.25">
      <c r="A106" t="s">
        <v>142</v>
      </c>
      <c r="B106" s="5">
        <f>SUMPRODUCT(--ISERROR('MC Schedules'!$B$3:$J$22))+SUMPRODUCT(--ISERROR('MC Schedules'!$M$3:$U$22))+SUMPRODUCT(--ISERROR('MC Schedules'!$X$3:$AF$32))</f>
        <v>0</v>
      </c>
      <c r="C106" s="5">
        <v>0</v>
      </c>
      <c r="D106" s="1" t="str">
        <f>IF(B106=0,"PASS","FAIL")</f>
        <v>PASS</v>
      </c>
    </row>
    <row r="107" spans="1:4" x14ac:dyDescent="0.25">
      <c r="A107" t="s">
        <v>143</v>
      </c>
      <c r="B107" s="5">
        <f>34-(--_xlfn.ISFORMULA(Model!$B$10)+--_xlfn.ISFORMULA(Model!$B$12)+--_xlfn.ISFORMULA(Model!$B$25)+--_xlfn.ISFORMULA(Model!$B$43)+--_xlfn.ISFORMULA(Model!$B$44)+--_xlfn.ISFORMULA(Model!$B$45)+--_xlfn.ISFORMULA(Model!$B$46)+--_xlfn.ISFORMULA(Model!$B$49)+--_xlfn.ISFORMULA(Model!$B$50)+--_xlfn.ISFORMULA(Model!$B$51)+--_xlfn.ISFORMULA(Model!$B$52)+--_xlfn.ISFORMULA(Model!$B$53)+--_xlfn.ISFORMULA(Model!$B$56)+--_xlfn.ISFORMULA(Model!$B$57)+--_xlfn.ISFORMULA(Model!$B$58)+--_xlfn.ISFORMULA(Model!$B$62)+--_xlfn.ISFORMULA(Model!$B$63)+--_xlfn.ISFORMULA(Model!$B$64)+--_xlfn.ISFORMULA(Model!$B$65)+--_xlfn.ISFORMULA(Model!$B$68)+--_xlfn.ISFORMULA(Model!$B$69)+--_xlfn.ISFORMULA(Model!$B$70)+--_xlfn.ISFORMULA(Model!$B$71)+--_xlfn.ISFORMULA(Model!$B$74)+--_xlfn.ISFORMULA(Model!$B$75)+--_xlfn.ISFORMULA(Model!$B$78)+--_xlfn.ISFORMULA(Model!$B$79)+--_xlfn.ISFORMULA(Model!$B$80)+--_xlfn.ISFORMULA(Model!$B$81)+--_xlfn.ISFORMULA(Model!$B$82)+--_xlfn.ISFORMULA(Model!$B$83)+--_xlfn.ISFORMULA(Model!$B$86)+--_xlfn.ISFORMULA(Model!$B$87)+--_xlfn.ISFORMULA(Model!$B$88))</f>
        <v>0</v>
      </c>
      <c r="C107" s="5">
        <v>0</v>
      </c>
      <c r="D107" s="1" t="str">
        <f>IF(B107=0,"PASS","FAIL")</f>
        <v>PASS</v>
      </c>
    </row>
    <row r="108" spans="1:4" x14ac:dyDescent="0.25">
      <c r="A108" t="s">
        <v>144</v>
      </c>
      <c r="B108" s="5">
        <f>--_xlfn.ISFORMULA(Model!$B$38)+--_xlfn.ISFORMULA(Model!$B$39)+--_xlfn.ISFORMULA(Model!$B$40)</f>
        <v>0</v>
      </c>
      <c r="C108" s="5">
        <v>0</v>
      </c>
      <c r="D108" s="1" t="str">
        <f>IF(B108=0,"PASS","FAIL")</f>
        <v>PASS</v>
      </c>
    </row>
    <row r="109" spans="1:4" x14ac:dyDescent="0.25">
      <c r="A109" s="3" t="s">
        <v>145</v>
      </c>
      <c r="B109" s="3" t="s">
        <v>3</v>
      </c>
      <c r="C109" s="3" t="s">
        <v>3</v>
      </c>
      <c r="D109" s="3" t="s">
        <v>3</v>
      </c>
    </row>
    <row r="110" spans="1:4" x14ac:dyDescent="0.25">
      <c r="A110" s="9" t="s">
        <v>146</v>
      </c>
    </row>
    <row r="111" spans="1:4" x14ac:dyDescent="0.25">
      <c r="A111" s="1" t="s">
        <v>147</v>
      </c>
      <c r="B111" t="s">
        <v>148</v>
      </c>
    </row>
    <row r="112" spans="1:4" x14ac:dyDescent="0.25">
      <c r="A112" s="1" t="s">
        <v>149</v>
      </c>
      <c r="B112" t="s">
        <v>150</v>
      </c>
    </row>
    <row r="113" spans="1:2" x14ac:dyDescent="0.25">
      <c r="A113" s="1" t="s">
        <v>151</v>
      </c>
      <c r="B113" t="s">
        <v>152</v>
      </c>
    </row>
    <row r="114" spans="1:2" x14ac:dyDescent="0.25">
      <c r="A114" s="1" t="s">
        <v>153</v>
      </c>
      <c r="B114" t="s">
        <v>154</v>
      </c>
    </row>
    <row r="115" spans="1:2" x14ac:dyDescent="0.25">
      <c r="A115" s="1" t="s">
        <v>155</v>
      </c>
      <c r="B115" t="s">
        <v>156</v>
      </c>
    </row>
    <row r="116" spans="1:2" x14ac:dyDescent="0.25">
      <c r="A116" s="1" t="s">
        <v>157</v>
      </c>
      <c r="B116" t="s">
        <v>158</v>
      </c>
    </row>
    <row r="117" spans="1:2" x14ac:dyDescent="0.25">
      <c r="A117" s="1" t="s">
        <v>159</v>
      </c>
      <c r="B117" t="s">
        <v>160</v>
      </c>
    </row>
    <row r="118" spans="1:2" x14ac:dyDescent="0.25">
      <c r="A118" s="1" t="s">
        <v>161</v>
      </c>
      <c r="B118" t="s">
        <v>162</v>
      </c>
    </row>
    <row r="119" spans="1:2" x14ac:dyDescent="0.25">
      <c r="A119" s="1" t="s">
        <v>163</v>
      </c>
      <c r="B119" t="s">
        <v>164</v>
      </c>
    </row>
    <row r="120" spans="1:2" x14ac:dyDescent="0.25">
      <c r="A120" s="1" t="s">
        <v>165</v>
      </c>
      <c r="B120" t="s">
        <v>109</v>
      </c>
    </row>
    <row r="121" spans="1:2" x14ac:dyDescent="0.25">
      <c r="A121" s="1" t="s">
        <v>166</v>
      </c>
      <c r="B121" t="s">
        <v>111</v>
      </c>
    </row>
    <row r="122" spans="1:2" x14ac:dyDescent="0.25">
      <c r="A122" s="1" t="s">
        <v>167</v>
      </c>
      <c r="B122" t="s">
        <v>113</v>
      </c>
    </row>
    <row r="123" spans="1:2" x14ac:dyDescent="0.25">
      <c r="A123" s="1" t="s">
        <v>168</v>
      </c>
      <c r="B123" t="s">
        <v>169</v>
      </c>
    </row>
    <row r="124" spans="1:2" x14ac:dyDescent="0.25">
      <c r="A124" s="1" t="s">
        <v>170</v>
      </c>
      <c r="B124" t="s">
        <v>171</v>
      </c>
    </row>
    <row r="125" spans="1:2" x14ac:dyDescent="0.25">
      <c r="A125" s="1" t="s">
        <v>172</v>
      </c>
      <c r="B125" t="s">
        <v>173</v>
      </c>
    </row>
    <row r="126" spans="1:2" x14ac:dyDescent="0.25">
      <c r="A126" s="1" t="s">
        <v>174</v>
      </c>
      <c r="B126" t="s">
        <v>175</v>
      </c>
    </row>
    <row r="127" spans="1:2" x14ac:dyDescent="0.25">
      <c r="A127" s="1" t="s">
        <v>176</v>
      </c>
      <c r="B127" t="s">
        <v>177</v>
      </c>
    </row>
  </sheetData>
  <conditionalFormatting sqref="B79:B83 D91:D101 B102 D105:D108">
    <cfRule type="cellIs" dxfId="1" priority="1" operator="equal">
      <formula>"PASS"</formula>
    </cfRule>
    <cfRule type="cellIs" dxfId="0" priority="2" operator="equal">
      <formula>"FAIL"</formula>
    </cfRule>
  </conditionalFormatting>
  <pageMargins left="0.7" right="0.7" top="0.75" bottom="0.75" header="0.3" footer="0.3"/>
  <headerFooter>
    <oddFooter>&amp;R_x000D_&amp;1#&amp;"Aptos"&amp;22&amp;KFF8939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" customWidth="1"/>
    <col min="2" max="9" width="13.42578125" customWidth="1"/>
    <col min="10" max="10" width="10" customWidth="1"/>
    <col min="11" max="11" width="2.42578125" customWidth="1"/>
    <col min="12" max="12" width="5" customWidth="1"/>
    <col min="13" max="20" width="13.42578125" customWidth="1"/>
    <col min="21" max="21" width="10" customWidth="1"/>
    <col min="22" max="22" width="2.42578125" customWidth="1"/>
    <col min="23" max="23" width="5" customWidth="1"/>
    <col min="24" max="31" width="13.42578125" customWidth="1"/>
    <col min="32" max="32" width="10" customWidth="1"/>
  </cols>
  <sheetData>
    <row r="1" spans="1:32" x14ac:dyDescent="0.25">
      <c r="A1" s="10" t="s">
        <v>178</v>
      </c>
      <c r="B1" s="10" t="s">
        <v>179</v>
      </c>
      <c r="C1" s="10" t="s">
        <v>180</v>
      </c>
      <c r="D1" s="10" t="s">
        <v>181</v>
      </c>
      <c r="E1" s="10" t="s">
        <v>182</v>
      </c>
      <c r="F1" s="10" t="s">
        <v>183</v>
      </c>
      <c r="G1" s="10" t="s">
        <v>184</v>
      </c>
      <c r="H1" s="10" t="s">
        <v>185</v>
      </c>
      <c r="I1" s="10" t="s">
        <v>186</v>
      </c>
      <c r="J1" s="10" t="s">
        <v>187</v>
      </c>
      <c r="L1" s="10" t="s">
        <v>178</v>
      </c>
      <c r="M1" s="10" t="s">
        <v>179</v>
      </c>
      <c r="N1" s="10" t="s">
        <v>180</v>
      </c>
      <c r="O1" s="10" t="s">
        <v>181</v>
      </c>
      <c r="P1" s="10" t="s">
        <v>182</v>
      </c>
      <c r="Q1" s="10" t="s">
        <v>183</v>
      </c>
      <c r="R1" s="10" t="s">
        <v>184</v>
      </c>
      <c r="S1" s="10" t="s">
        <v>185</v>
      </c>
      <c r="T1" s="10" t="s">
        <v>186</v>
      </c>
      <c r="U1" s="10" t="s">
        <v>187</v>
      </c>
      <c r="W1" s="10" t="s">
        <v>178</v>
      </c>
      <c r="X1" s="10" t="s">
        <v>179</v>
      </c>
      <c r="Y1" s="10" t="s">
        <v>180</v>
      </c>
      <c r="Z1" s="10" t="s">
        <v>181</v>
      </c>
      <c r="AA1" s="10" t="s">
        <v>182</v>
      </c>
      <c r="AB1" s="10" t="s">
        <v>183</v>
      </c>
      <c r="AC1" s="10" t="s">
        <v>184</v>
      </c>
      <c r="AD1" s="10" t="s">
        <v>185</v>
      </c>
      <c r="AE1" s="10" t="s">
        <v>186</v>
      </c>
      <c r="AF1" s="10" t="s">
        <v>187</v>
      </c>
    </row>
    <row r="2" spans="1:32" x14ac:dyDescent="0.25">
      <c r="A2" s="5">
        <v>0</v>
      </c>
      <c r="B2" s="7">
        <f t="shared" ref="B2:B22" si="0">$A2*TOM_HRS*WEEKS*(1+TOM_DIM_PCT)^$A2</f>
        <v>0</v>
      </c>
      <c r="C2" s="4">
        <f t="shared" ref="C2:C22" si="1">MIN($B2,FARMER_HOURS)*FARMER_LABOR_RATE+MAX($B2-FARMER_HOURS,0)*TEMP_LABOR_RATE</f>
        <v>0</v>
      </c>
      <c r="D2" s="4">
        <f t="shared" ref="D2:D22" si="2">$A2*TOM_FERTILIZER</f>
        <v>0</v>
      </c>
      <c r="E2" s="4">
        <f t="shared" ref="E2:E22" si="3">$C2+$D2</f>
        <v>0</v>
      </c>
      <c r="F2" s="4">
        <f t="shared" ref="F2:F22" si="4">$E2</f>
        <v>0</v>
      </c>
      <c r="G2" s="4" t="str">
        <f t="shared" ref="G2:G22" si="5">IF($A2=0,"",$F2-$F1)</f>
        <v/>
      </c>
      <c r="H2" s="4" t="str">
        <f t="shared" ref="H2:H22" si="6">IF($A2=0,"",$F2/$A2)</f>
        <v/>
      </c>
      <c r="I2" s="4">
        <f t="shared" ref="I2:I22" si="7">TOM_PRICE</f>
        <v>8800</v>
      </c>
      <c r="J2" s="1" t="str">
        <f>IF($A2=0,"","")</f>
        <v/>
      </c>
      <c r="L2" s="5">
        <v>0</v>
      </c>
      <c r="M2" s="7">
        <f t="shared" ref="M2:M22" si="8">$L2*CAR_HRS*WEEKS*(1+CAR_DIM_PCT)^$L2</f>
        <v>0</v>
      </c>
      <c r="N2" s="4">
        <f t="shared" ref="N2:N22" si="9">MIN($M2,FARMER_HOURS)*FARMER_LABOR_RATE+MAX($M2-FARMER_HOURS,0)*TEMP_LABOR_RATE</f>
        <v>0</v>
      </c>
      <c r="O2" s="4">
        <f t="shared" ref="O2:O22" si="10">$L2*CAR_FERTILIZER</f>
        <v>0</v>
      </c>
      <c r="P2" s="4">
        <f t="shared" ref="P2:P22" si="11">$N2+$O2</f>
        <v>0</v>
      </c>
      <c r="Q2" s="4">
        <f t="shared" ref="Q2:Q22" si="12">$P2</f>
        <v>0</v>
      </c>
      <c r="R2" s="4" t="str">
        <f t="shared" ref="R2:R22" si="13">IF($L2=0,"",$Q2-$Q1)</f>
        <v/>
      </c>
      <c r="S2" s="4" t="str">
        <f t="shared" ref="S2:S22" si="14">IF($L2=0,"",$Q2/$L2)</f>
        <v/>
      </c>
      <c r="T2" s="4">
        <f t="shared" ref="T2:T22" si="15">CAR_PRICE</f>
        <v>2094</v>
      </c>
      <c r="U2" s="1" t="str">
        <f>IF($L2=0,"","")</f>
        <v/>
      </c>
      <c r="W2" s="5">
        <v>0</v>
      </c>
      <c r="X2" s="7">
        <f t="shared" ref="X2:X32" si="16">$W2*MES_HRS*WEEKS*(1+MES_DIM_PCT)^$W2</f>
        <v>0</v>
      </c>
      <c r="Y2" s="4">
        <f t="shared" ref="Y2:Y32" si="17">MIN($X2,FARMER_HOURS)*FARMER_LABOR_RATE+MAX($X2-FARMER_HOURS,0)*TEMP_LABOR_RATE</f>
        <v>0</v>
      </c>
      <c r="Z2" s="4">
        <f t="shared" ref="Z2:Z32" si="18">$W2*MES_FERTILIZER</f>
        <v>0</v>
      </c>
      <c r="AA2" s="4">
        <f t="shared" ref="AA2:AA32" si="19">$Y2+$Z2</f>
        <v>0</v>
      </c>
      <c r="AB2" s="4">
        <f t="shared" ref="AB2:AB32" si="20">$AA2</f>
        <v>0</v>
      </c>
      <c r="AC2" s="4" t="str">
        <f t="shared" ref="AC2:AC32" si="21">IF($W2=0,"",$AB2-$AB1)</f>
        <v/>
      </c>
      <c r="AD2" s="4" t="str">
        <f t="shared" ref="AD2:AD32" si="22">IF($W2=0,"",$AB2/$W2)</f>
        <v/>
      </c>
      <c r="AE2" s="4">
        <f t="shared" ref="AE2:AE32" si="23">MES_PRICE</f>
        <v>2700</v>
      </c>
      <c r="AF2" s="1" t="str">
        <f>IF($W2=0,"","")</f>
        <v/>
      </c>
    </row>
    <row r="3" spans="1:32" x14ac:dyDescent="0.25">
      <c r="A3" s="5">
        <v>1</v>
      </c>
      <c r="B3" s="7">
        <f t="shared" si="0"/>
        <v>99.000000000000014</v>
      </c>
      <c r="C3" s="4">
        <f t="shared" si="1"/>
        <v>3437.5000000000005</v>
      </c>
      <c r="D3" s="4">
        <f t="shared" si="2"/>
        <v>880</v>
      </c>
      <c r="E3" s="4">
        <f t="shared" si="3"/>
        <v>4317.5</v>
      </c>
      <c r="F3" s="4">
        <f t="shared" si="4"/>
        <v>4317.5</v>
      </c>
      <c r="G3" s="4">
        <f t="shared" si="5"/>
        <v>4317.5</v>
      </c>
      <c r="H3" s="4">
        <f t="shared" si="6"/>
        <v>4317.5</v>
      </c>
      <c r="I3" s="4">
        <f t="shared" si="7"/>
        <v>8800</v>
      </c>
      <c r="J3" s="1" t="str">
        <f>IF(AND($G3&lt;=$I3,SUMPRODUCT(--($G$3:$G3&gt;$I$3:$I3))=0,OR($A3=TOM_MAX_BEDS,$G4&gt;$I4)),"P ≈ MC","")</f>
        <v/>
      </c>
      <c r="L3" s="5">
        <v>1</v>
      </c>
      <c r="M3" s="7">
        <f t="shared" si="8"/>
        <v>30.749999999999996</v>
      </c>
      <c r="N3" s="4">
        <f t="shared" si="9"/>
        <v>1067.7083333333333</v>
      </c>
      <c r="O3" s="4">
        <f t="shared" si="10"/>
        <v>440</v>
      </c>
      <c r="P3" s="4">
        <f t="shared" si="11"/>
        <v>1507.7083333333333</v>
      </c>
      <c r="Q3" s="4">
        <f t="shared" si="12"/>
        <v>1507.7083333333333</v>
      </c>
      <c r="R3" s="4">
        <f t="shared" si="13"/>
        <v>1507.7083333333333</v>
      </c>
      <c r="S3" s="4">
        <f t="shared" si="14"/>
        <v>1507.7083333333333</v>
      </c>
      <c r="T3" s="4">
        <f t="shared" si="15"/>
        <v>2094</v>
      </c>
      <c r="U3" s="1" t="str">
        <f>IF(AND($R3&lt;=$T3,SUMPRODUCT(--($R$3:$R3&gt;$T$3:$T3))=0,OR($L3=CAR_MAX_BEDS,$R4&gt;$T4)),"P ≈ MC","")</f>
        <v/>
      </c>
      <c r="W3" s="5">
        <v>1</v>
      </c>
      <c r="X3" s="7">
        <f t="shared" si="16"/>
        <v>45.5625</v>
      </c>
      <c r="Y3" s="4">
        <f t="shared" si="17"/>
        <v>1582.03125</v>
      </c>
      <c r="Z3" s="4">
        <f t="shared" si="18"/>
        <v>880</v>
      </c>
      <c r="AA3" s="4">
        <f t="shared" si="19"/>
        <v>2462.03125</v>
      </c>
      <c r="AB3" s="4">
        <f t="shared" si="20"/>
        <v>2462.03125</v>
      </c>
      <c r="AC3" s="4">
        <f t="shared" si="21"/>
        <v>2462.03125</v>
      </c>
      <c r="AD3" s="4">
        <f t="shared" si="22"/>
        <v>2462.03125</v>
      </c>
      <c r="AE3" s="4">
        <f t="shared" si="23"/>
        <v>2700</v>
      </c>
      <c r="AF3" s="1" t="str">
        <f>IF(AND($AC3&lt;=$AE3,SUMPRODUCT(--($AC$3:$AC3&gt;$AE$3:$AE3))=0,OR($W3=MES_MAX_BEDS,$AC4&gt;$AE4)),"P ≈ MC","")</f>
        <v/>
      </c>
    </row>
    <row r="4" spans="1:32" x14ac:dyDescent="0.25">
      <c r="A4" s="5">
        <v>2</v>
      </c>
      <c r="B4" s="7">
        <f t="shared" si="0"/>
        <v>217.80000000000004</v>
      </c>
      <c r="C4" s="4">
        <f t="shared" si="1"/>
        <v>7562.5000000000009</v>
      </c>
      <c r="D4" s="4">
        <f t="shared" si="2"/>
        <v>1760</v>
      </c>
      <c r="E4" s="4">
        <f t="shared" si="3"/>
        <v>9322.5</v>
      </c>
      <c r="F4" s="4">
        <f t="shared" si="4"/>
        <v>9322.5</v>
      </c>
      <c r="G4" s="4">
        <f t="shared" si="5"/>
        <v>5005</v>
      </c>
      <c r="H4" s="4">
        <f t="shared" si="6"/>
        <v>4661.25</v>
      </c>
      <c r="I4" s="4">
        <f t="shared" si="7"/>
        <v>8800</v>
      </c>
      <c r="J4" s="1" t="str">
        <f>IF(AND($G4&lt;=$I4,SUMPRODUCT(--($G$3:$G4&gt;$I$3:$I4))=0,OR($A4=TOM_MAX_BEDS,$G5&gt;$I5)),"P ≈ MC","")</f>
        <v/>
      </c>
      <c r="L4" s="5">
        <v>2</v>
      </c>
      <c r="M4" s="7">
        <f t="shared" si="8"/>
        <v>63.037499999999994</v>
      </c>
      <c r="N4" s="4">
        <f t="shared" si="9"/>
        <v>2188.802083333333</v>
      </c>
      <c r="O4" s="4">
        <f t="shared" si="10"/>
        <v>880</v>
      </c>
      <c r="P4" s="4">
        <f t="shared" si="11"/>
        <v>3068.802083333333</v>
      </c>
      <c r="Q4" s="4">
        <f t="shared" si="12"/>
        <v>3068.802083333333</v>
      </c>
      <c r="R4" s="4">
        <f t="shared" si="13"/>
        <v>1561.0937499999998</v>
      </c>
      <c r="S4" s="4">
        <f t="shared" si="14"/>
        <v>1534.4010416666665</v>
      </c>
      <c r="T4" s="4">
        <f t="shared" si="15"/>
        <v>2094</v>
      </c>
      <c r="U4" s="1" t="str">
        <f>IF(AND($R4&lt;=$T4,SUMPRODUCT(--($R$3:$R4&gt;$T$3:$T4))=0,OR($L4=CAR_MAX_BEDS,$R5&gt;$T5)),"P ≈ MC","")</f>
        <v/>
      </c>
      <c r="W4" s="5">
        <v>2</v>
      </c>
      <c r="X4" s="7">
        <f t="shared" si="16"/>
        <v>92.264062499999994</v>
      </c>
      <c r="Y4" s="4">
        <f t="shared" si="17"/>
        <v>3203.6132812499995</v>
      </c>
      <c r="Z4" s="4">
        <f t="shared" si="18"/>
        <v>1760</v>
      </c>
      <c r="AA4" s="4">
        <f t="shared" si="19"/>
        <v>4963.61328125</v>
      </c>
      <c r="AB4" s="4">
        <f t="shared" si="20"/>
        <v>4963.61328125</v>
      </c>
      <c r="AC4" s="4">
        <f t="shared" si="21"/>
        <v>2501.58203125</v>
      </c>
      <c r="AD4" s="4">
        <f t="shared" si="22"/>
        <v>2481.806640625</v>
      </c>
      <c r="AE4" s="4">
        <f t="shared" si="23"/>
        <v>2700</v>
      </c>
      <c r="AF4" s="1" t="str">
        <f>IF(AND($AC4&lt;=$AE4,SUMPRODUCT(--($AC$3:$AC4&gt;$AE$3:$AE4))=0,OR($W4=MES_MAX_BEDS,$AC5&gt;$AE5)),"P ≈ MC","")</f>
        <v/>
      </c>
    </row>
    <row r="5" spans="1:32" x14ac:dyDescent="0.25">
      <c r="A5" s="5">
        <v>3</v>
      </c>
      <c r="B5" s="7">
        <f t="shared" si="0"/>
        <v>359.37000000000012</v>
      </c>
      <c r="C5" s="4">
        <f t="shared" si="1"/>
        <v>12478.125000000004</v>
      </c>
      <c r="D5" s="4">
        <f t="shared" si="2"/>
        <v>2640</v>
      </c>
      <c r="E5" s="4">
        <f t="shared" si="3"/>
        <v>15118.125000000004</v>
      </c>
      <c r="F5" s="4">
        <f t="shared" si="4"/>
        <v>15118.125000000004</v>
      </c>
      <c r="G5" s="4">
        <f t="shared" si="5"/>
        <v>5795.6250000000036</v>
      </c>
      <c r="H5" s="4">
        <f t="shared" si="6"/>
        <v>5039.3750000000009</v>
      </c>
      <c r="I5" s="4">
        <f t="shared" si="7"/>
        <v>8800</v>
      </c>
      <c r="J5" s="1" t="str">
        <f>IF(AND($G5&lt;=$I5,SUMPRODUCT(--($G$3:$G5&gt;$I$3:$I5))=0,OR($A5=TOM_MAX_BEDS,$G6&gt;$I6)),"P ≈ MC","")</f>
        <v/>
      </c>
      <c r="L5" s="5">
        <v>3</v>
      </c>
      <c r="M5" s="7">
        <f t="shared" si="8"/>
        <v>96.920156249999991</v>
      </c>
      <c r="N5" s="4">
        <f t="shared" si="9"/>
        <v>3365.2832031249995</v>
      </c>
      <c r="O5" s="4">
        <f t="shared" si="10"/>
        <v>1320</v>
      </c>
      <c r="P5" s="4">
        <f t="shared" si="11"/>
        <v>4685.283203125</v>
      </c>
      <c r="Q5" s="4">
        <f t="shared" si="12"/>
        <v>4685.283203125</v>
      </c>
      <c r="R5" s="4">
        <f t="shared" si="13"/>
        <v>1616.481119791667</v>
      </c>
      <c r="S5" s="4">
        <f t="shared" si="14"/>
        <v>1561.7610677083333</v>
      </c>
      <c r="T5" s="4">
        <f t="shared" si="15"/>
        <v>2094</v>
      </c>
      <c r="U5" s="1" t="str">
        <f>IF(AND($R5&lt;=$T5,SUMPRODUCT(--($R$3:$R5&gt;$T$3:$T5))=0,OR($L5=CAR_MAX_BEDS,$R6&gt;$T6)),"P ≈ MC","")</f>
        <v/>
      </c>
      <c r="W5" s="5">
        <v>3</v>
      </c>
      <c r="X5" s="7">
        <f t="shared" si="16"/>
        <v>140.12604492187498</v>
      </c>
      <c r="Y5" s="4">
        <f t="shared" si="17"/>
        <v>4865.4876708984366</v>
      </c>
      <c r="Z5" s="4">
        <f t="shared" si="18"/>
        <v>2640</v>
      </c>
      <c r="AA5" s="4">
        <f t="shared" si="19"/>
        <v>7505.4876708984366</v>
      </c>
      <c r="AB5" s="4">
        <f t="shared" si="20"/>
        <v>7505.4876708984366</v>
      </c>
      <c r="AC5" s="4">
        <f t="shared" si="21"/>
        <v>2541.8743896484366</v>
      </c>
      <c r="AD5" s="4">
        <f t="shared" si="22"/>
        <v>2501.829223632812</v>
      </c>
      <c r="AE5" s="4">
        <f t="shared" si="23"/>
        <v>2700</v>
      </c>
      <c r="AF5" s="1" t="str">
        <f>IF(AND($AC5&lt;=$AE5,SUMPRODUCT(--($AC$3:$AC5&gt;$AE$3:$AE5))=0,OR($W5=MES_MAX_BEDS,$AC6&gt;$AE6)),"P ≈ MC","")</f>
        <v/>
      </c>
    </row>
    <row r="6" spans="1:32" x14ac:dyDescent="0.25">
      <c r="A6" s="5">
        <v>4</v>
      </c>
      <c r="B6" s="7">
        <f t="shared" si="0"/>
        <v>527.07600000000014</v>
      </c>
      <c r="C6" s="4">
        <f t="shared" si="1"/>
        <v>18301.250000000004</v>
      </c>
      <c r="D6" s="4">
        <f t="shared" si="2"/>
        <v>3520</v>
      </c>
      <c r="E6" s="4">
        <f t="shared" si="3"/>
        <v>21821.250000000004</v>
      </c>
      <c r="F6" s="4">
        <f t="shared" si="4"/>
        <v>21821.250000000004</v>
      </c>
      <c r="G6" s="4">
        <f t="shared" si="5"/>
        <v>6703.125</v>
      </c>
      <c r="H6" s="4">
        <f t="shared" si="6"/>
        <v>5455.3125000000009</v>
      </c>
      <c r="I6" s="4">
        <f t="shared" si="7"/>
        <v>8800</v>
      </c>
      <c r="J6" s="1" t="str">
        <f>IF(AND($G6&lt;=$I6,SUMPRODUCT(--($G$3:$G6&gt;$I$3:$I6))=0,OR($A6=TOM_MAX_BEDS,$G7&gt;$I7)),"P ≈ MC","")</f>
        <v/>
      </c>
      <c r="L6" s="5">
        <v>4</v>
      </c>
      <c r="M6" s="7">
        <f t="shared" si="8"/>
        <v>132.45754687499996</v>
      </c>
      <c r="N6" s="4">
        <f t="shared" si="9"/>
        <v>4599.2203776041652</v>
      </c>
      <c r="O6" s="4">
        <f t="shared" si="10"/>
        <v>1760</v>
      </c>
      <c r="P6" s="4">
        <f t="shared" si="11"/>
        <v>6359.2203776041652</v>
      </c>
      <c r="Q6" s="4">
        <f t="shared" si="12"/>
        <v>6359.2203776041652</v>
      </c>
      <c r="R6" s="4">
        <f t="shared" si="13"/>
        <v>1673.9371744791652</v>
      </c>
      <c r="S6" s="4">
        <f t="shared" si="14"/>
        <v>1589.8050944010413</v>
      </c>
      <c r="T6" s="4">
        <f t="shared" si="15"/>
        <v>2094</v>
      </c>
      <c r="U6" s="1" t="str">
        <f>IF(AND($R6&lt;=$T6,SUMPRODUCT(--($R$3:$R6&gt;$T$3:$T6))=0,OR($L6=CAR_MAX_BEDS,$R7&gt;$T7)),"P ≈ MC","")</f>
        <v/>
      </c>
      <c r="W6" s="5">
        <v>4</v>
      </c>
      <c r="X6" s="7">
        <f t="shared" si="16"/>
        <v>189.17016064453125</v>
      </c>
      <c r="Y6" s="4">
        <f t="shared" si="17"/>
        <v>6568.4083557128906</v>
      </c>
      <c r="Z6" s="4">
        <f t="shared" si="18"/>
        <v>3520</v>
      </c>
      <c r="AA6" s="4">
        <f t="shared" si="19"/>
        <v>10088.408355712891</v>
      </c>
      <c r="AB6" s="4">
        <f t="shared" si="20"/>
        <v>10088.408355712891</v>
      </c>
      <c r="AC6" s="4">
        <f t="shared" si="21"/>
        <v>2582.920684814454</v>
      </c>
      <c r="AD6" s="4">
        <f t="shared" si="22"/>
        <v>2522.1020889282227</v>
      </c>
      <c r="AE6" s="4">
        <f t="shared" si="23"/>
        <v>2700</v>
      </c>
      <c r="AF6" s="1" t="str">
        <f>IF(AND($AC6&lt;=$AE6,SUMPRODUCT(--($AC$3:$AC6&gt;$AE$3:$AE6))=0,OR($W6=MES_MAX_BEDS,$AC7&gt;$AE7)),"P ≈ MC","")</f>
        <v/>
      </c>
    </row>
    <row r="7" spans="1:32" x14ac:dyDescent="0.25">
      <c r="A7" s="5">
        <v>5</v>
      </c>
      <c r="B7" s="7">
        <f t="shared" si="0"/>
        <v>724.72950000000026</v>
      </c>
      <c r="C7" s="4">
        <f t="shared" si="1"/>
        <v>25082.109375000004</v>
      </c>
      <c r="D7" s="4">
        <f t="shared" si="2"/>
        <v>4400</v>
      </c>
      <c r="E7" s="4">
        <f t="shared" si="3"/>
        <v>29482.109375000004</v>
      </c>
      <c r="F7" s="4">
        <f t="shared" si="4"/>
        <v>29482.109375000004</v>
      </c>
      <c r="G7" s="4">
        <f t="shared" si="5"/>
        <v>7660.859375</v>
      </c>
      <c r="H7" s="4">
        <f t="shared" si="6"/>
        <v>5896.4218750000009</v>
      </c>
      <c r="I7" s="4">
        <f t="shared" si="7"/>
        <v>8800</v>
      </c>
      <c r="J7" s="1" t="str">
        <f>IF(AND($G7&lt;=$I7,SUMPRODUCT(--($G$3:$G7&gt;$I$3:$I7))=0,OR($A7=TOM_MAX_BEDS,$G8&gt;$I8)),"P ≈ MC","")</f>
        <v/>
      </c>
      <c r="L7" s="5">
        <v>5</v>
      </c>
      <c r="M7" s="7">
        <f t="shared" si="8"/>
        <v>169.71123193359369</v>
      </c>
      <c r="N7" s="4">
        <f t="shared" si="9"/>
        <v>5892.7511088053361</v>
      </c>
      <c r="O7" s="4">
        <f t="shared" si="10"/>
        <v>2200</v>
      </c>
      <c r="P7" s="4">
        <f t="shared" si="11"/>
        <v>8092.7511088053361</v>
      </c>
      <c r="Q7" s="4">
        <f t="shared" si="12"/>
        <v>8092.7511088053361</v>
      </c>
      <c r="R7" s="4">
        <f t="shared" si="13"/>
        <v>1733.530731201171</v>
      </c>
      <c r="S7" s="4">
        <f t="shared" si="14"/>
        <v>1618.5502217610672</v>
      </c>
      <c r="T7" s="4">
        <f t="shared" si="15"/>
        <v>2094</v>
      </c>
      <c r="U7" s="1" t="str">
        <f>IF(AND($R7&lt;=$T7,SUMPRODUCT(--($R$3:$R7&gt;$T$3:$T7))=0,OR($L7=CAR_MAX_BEDS,$R8&gt;$T8)),"P ≈ MC","")</f>
        <v/>
      </c>
      <c r="W7" s="5">
        <v>5</v>
      </c>
      <c r="X7" s="7">
        <f t="shared" si="16"/>
        <v>239.41848456573481</v>
      </c>
      <c r="Y7" s="4">
        <f t="shared" si="17"/>
        <v>8313.1418251991254</v>
      </c>
      <c r="Z7" s="4">
        <f t="shared" si="18"/>
        <v>4400</v>
      </c>
      <c r="AA7" s="4">
        <f t="shared" si="19"/>
        <v>12713.141825199125</v>
      </c>
      <c r="AB7" s="4">
        <f t="shared" si="20"/>
        <v>12713.141825199125</v>
      </c>
      <c r="AC7" s="4">
        <f t="shared" si="21"/>
        <v>2624.7334694862348</v>
      </c>
      <c r="AD7" s="4">
        <f t="shared" si="22"/>
        <v>2542.628365039825</v>
      </c>
      <c r="AE7" s="4">
        <f t="shared" si="23"/>
        <v>2700</v>
      </c>
      <c r="AF7" s="1" t="str">
        <f>IF(AND($AC7&lt;=$AE7,SUMPRODUCT(--($AC$3:$AC7&gt;$AE$3:$AE7))=0,OR($W7=MES_MAX_BEDS,$AC8&gt;$AE8)),"P ≈ MC","")</f>
        <v/>
      </c>
    </row>
    <row r="8" spans="1:32" x14ac:dyDescent="0.25">
      <c r="A8" s="5">
        <v>6</v>
      </c>
      <c r="B8" s="7">
        <f t="shared" si="0"/>
        <v>956.64294000000041</v>
      </c>
      <c r="C8" s="4">
        <f t="shared" si="1"/>
        <v>29108.384375000009</v>
      </c>
      <c r="D8" s="4">
        <f t="shared" si="2"/>
        <v>5280</v>
      </c>
      <c r="E8" s="4">
        <f t="shared" si="3"/>
        <v>34388.384375000009</v>
      </c>
      <c r="F8" s="4">
        <f t="shared" si="4"/>
        <v>34388.384375000009</v>
      </c>
      <c r="G8" s="4">
        <f t="shared" si="5"/>
        <v>4906.2750000000051</v>
      </c>
      <c r="H8" s="4">
        <f t="shared" si="6"/>
        <v>5731.3973958333345</v>
      </c>
      <c r="I8" s="4">
        <f t="shared" si="7"/>
        <v>8800</v>
      </c>
      <c r="J8" s="1" t="str">
        <f>IF(AND($G8&lt;=$I8,SUMPRODUCT(--($G$3:$G8&gt;$I$3:$I8))=0,OR($A8=TOM_MAX_BEDS,$G9&gt;$I9)),"P ≈ MC","")</f>
        <v/>
      </c>
      <c r="L8" s="5">
        <v>6</v>
      </c>
      <c r="M8" s="7">
        <f t="shared" si="8"/>
        <v>208.74481527832023</v>
      </c>
      <c r="N8" s="4">
        <f t="shared" si="9"/>
        <v>7248.0838638305631</v>
      </c>
      <c r="O8" s="4">
        <f t="shared" si="10"/>
        <v>2640</v>
      </c>
      <c r="P8" s="4">
        <f t="shared" si="11"/>
        <v>9888.0838638305631</v>
      </c>
      <c r="Q8" s="4">
        <f t="shared" si="12"/>
        <v>9888.0838638305631</v>
      </c>
      <c r="R8" s="4">
        <f t="shared" si="13"/>
        <v>1795.332755025227</v>
      </c>
      <c r="S8" s="4">
        <f t="shared" si="14"/>
        <v>1648.0139773050939</v>
      </c>
      <c r="T8" s="4">
        <f t="shared" si="15"/>
        <v>2094</v>
      </c>
      <c r="U8" s="1" t="str">
        <f>IF(AND($R8&lt;=$T8,SUMPRODUCT(--($R$3:$R8&gt;$T$3:$T8))=0,OR($L8=CAR_MAX_BEDS,$R9&gt;$T9)),"P ≈ MC","")</f>
        <v/>
      </c>
      <c r="W8" s="5">
        <v>6</v>
      </c>
      <c r="X8" s="7">
        <f t="shared" si="16"/>
        <v>290.89345874736784</v>
      </c>
      <c r="Y8" s="4">
        <f t="shared" si="17"/>
        <v>10100.467317616938</v>
      </c>
      <c r="Z8" s="4">
        <f t="shared" si="18"/>
        <v>5280</v>
      </c>
      <c r="AA8" s="4">
        <f t="shared" si="19"/>
        <v>15380.467317616938</v>
      </c>
      <c r="AB8" s="4">
        <f t="shared" si="20"/>
        <v>15380.467317616938</v>
      </c>
      <c r="AC8" s="4">
        <f t="shared" si="21"/>
        <v>2667.3254924178127</v>
      </c>
      <c r="AD8" s="4">
        <f t="shared" si="22"/>
        <v>2563.4112196028232</v>
      </c>
      <c r="AE8" s="4">
        <f t="shared" si="23"/>
        <v>2700</v>
      </c>
      <c r="AF8" s="1" t="str">
        <f>IF(AND($AC8&lt;=$AE8,SUMPRODUCT(--($AC$3:$AC8&gt;$AE$3:$AE8))=0,OR($W8=MES_MAX_BEDS,$AC9&gt;$AE9)),"P ≈ MC","")</f>
        <v>P ≈ MC</v>
      </c>
    </row>
    <row r="9" spans="1:32" x14ac:dyDescent="0.25">
      <c r="A9" s="5">
        <v>7</v>
      </c>
      <c r="B9" s="7">
        <f t="shared" si="0"/>
        <v>1227.6917730000007</v>
      </c>
      <c r="C9" s="4">
        <f t="shared" si="1"/>
        <v>33814.09328125001</v>
      </c>
      <c r="D9" s="4">
        <f t="shared" si="2"/>
        <v>6160</v>
      </c>
      <c r="E9" s="4">
        <f t="shared" si="3"/>
        <v>39974.09328125001</v>
      </c>
      <c r="F9" s="4">
        <f t="shared" si="4"/>
        <v>39974.09328125001</v>
      </c>
      <c r="G9" s="4">
        <f t="shared" si="5"/>
        <v>5585.7089062500017</v>
      </c>
      <c r="H9" s="4">
        <f t="shared" si="6"/>
        <v>5710.5847544642875</v>
      </c>
      <c r="I9" s="4">
        <f t="shared" si="7"/>
        <v>8800</v>
      </c>
      <c r="J9" s="1" t="str">
        <f>IF(AND($G9&lt;=$I9,SUMPRODUCT(--($G$3:$G9&gt;$I$3:$I9))=0,OR($A9=TOM_MAX_BEDS,$G10&gt;$I10)),"P ≈ MC","")</f>
        <v/>
      </c>
      <c r="L9" s="5">
        <v>7</v>
      </c>
      <c r="M9" s="7">
        <f t="shared" si="8"/>
        <v>249.62400827032465</v>
      </c>
      <c r="N9" s="4">
        <f t="shared" si="9"/>
        <v>8667.50028716405</v>
      </c>
      <c r="O9" s="4">
        <f t="shared" si="10"/>
        <v>3080</v>
      </c>
      <c r="P9" s="4">
        <f t="shared" si="11"/>
        <v>11747.50028716405</v>
      </c>
      <c r="Q9" s="4">
        <f t="shared" si="12"/>
        <v>11747.50028716405</v>
      </c>
      <c r="R9" s="4">
        <f t="shared" si="13"/>
        <v>1859.4164233334868</v>
      </c>
      <c r="S9" s="4">
        <f t="shared" si="14"/>
        <v>1678.2143267377214</v>
      </c>
      <c r="T9" s="4">
        <f t="shared" si="15"/>
        <v>2094</v>
      </c>
      <c r="U9" s="1" t="str">
        <f>IF(AND($R9&lt;=$T9,SUMPRODUCT(--($R$3:$R9&gt;$T$3:$T9))=0,OR($L9=CAR_MAX_BEDS,$R10&gt;$T10)),"P ≈ MC","")</f>
        <v/>
      </c>
      <c r="W9" s="5">
        <v>7</v>
      </c>
      <c r="X9" s="7">
        <f t="shared" si="16"/>
        <v>343.61789814532818</v>
      </c>
      <c r="Y9" s="4">
        <f t="shared" si="17"/>
        <v>11931.177018935006</v>
      </c>
      <c r="Z9" s="4">
        <f t="shared" si="18"/>
        <v>6160</v>
      </c>
      <c r="AA9" s="4">
        <f t="shared" si="19"/>
        <v>18091.177018935006</v>
      </c>
      <c r="AB9" s="4">
        <f t="shared" si="20"/>
        <v>18091.177018935006</v>
      </c>
      <c r="AC9" s="4">
        <f t="shared" si="21"/>
        <v>2710.7097013180683</v>
      </c>
      <c r="AD9" s="4">
        <f t="shared" si="22"/>
        <v>2584.453859847858</v>
      </c>
      <c r="AE9" s="4">
        <f t="shared" si="23"/>
        <v>2700</v>
      </c>
      <c r="AF9" s="1" t="str">
        <f>IF(AND($AC9&lt;=$AE9,SUMPRODUCT(--($AC$3:$AC9&gt;$AE$3:$AE9))=0,OR($W9=MES_MAX_BEDS,$AC10&gt;$AE10)),"P ≈ MC","")</f>
        <v/>
      </c>
    </row>
    <row r="10" spans="1:32" x14ac:dyDescent="0.25">
      <c r="A10" s="5">
        <v>8</v>
      </c>
      <c r="B10" s="7">
        <f t="shared" si="0"/>
        <v>1543.3839432000009</v>
      </c>
      <c r="C10" s="4">
        <f t="shared" si="1"/>
        <v>39294.860125000014</v>
      </c>
      <c r="D10" s="4">
        <f t="shared" si="2"/>
        <v>7040</v>
      </c>
      <c r="E10" s="4">
        <f t="shared" si="3"/>
        <v>46334.860125000014</v>
      </c>
      <c r="F10" s="4">
        <f t="shared" si="4"/>
        <v>46334.860125000014</v>
      </c>
      <c r="G10" s="4">
        <f t="shared" si="5"/>
        <v>6360.7668437500033</v>
      </c>
      <c r="H10" s="4">
        <f t="shared" si="6"/>
        <v>5791.8575156250017</v>
      </c>
      <c r="I10" s="4">
        <f t="shared" si="7"/>
        <v>8800</v>
      </c>
      <c r="J10" s="1" t="str">
        <f>IF(AND($G10&lt;=$I10,SUMPRODUCT(--($G$3:$G10&gt;$I$3:$I10))=0,OR($A10=TOM_MAX_BEDS,$G11&gt;$I11)),"P ≈ MC","")</f>
        <v/>
      </c>
      <c r="L10" s="5">
        <v>8</v>
      </c>
      <c r="M10" s="7">
        <f t="shared" si="8"/>
        <v>292.41669540238024</v>
      </c>
      <c r="N10" s="4">
        <f t="shared" si="9"/>
        <v>10153.357479249315</v>
      </c>
      <c r="O10" s="4">
        <f t="shared" si="10"/>
        <v>3520</v>
      </c>
      <c r="P10" s="4">
        <f t="shared" si="11"/>
        <v>13673.357479249315</v>
      </c>
      <c r="Q10" s="4">
        <f t="shared" si="12"/>
        <v>13673.357479249315</v>
      </c>
      <c r="R10" s="4">
        <f t="shared" si="13"/>
        <v>1925.8571920852646</v>
      </c>
      <c r="S10" s="4">
        <f t="shared" si="14"/>
        <v>1709.1696849061643</v>
      </c>
      <c r="T10" s="4">
        <f t="shared" si="15"/>
        <v>2094</v>
      </c>
      <c r="U10" s="1" t="str">
        <f>IF(AND($R10&lt;=$T10,SUMPRODUCT(--($R$3:$R10&gt;$T$3:$T10))=0,OR($L10=CAR_MAX_BEDS,$R11&gt;$T11)),"P ≈ MC","")</f>
        <v/>
      </c>
      <c r="W10" s="5">
        <v>8</v>
      </c>
      <c r="X10" s="7">
        <f t="shared" si="16"/>
        <v>397.61499642530839</v>
      </c>
      <c r="Y10" s="4">
        <f t="shared" si="17"/>
        <v>13806.076264767653</v>
      </c>
      <c r="Z10" s="4">
        <f t="shared" si="18"/>
        <v>7040</v>
      </c>
      <c r="AA10" s="4">
        <f t="shared" si="19"/>
        <v>20846.076264767653</v>
      </c>
      <c r="AB10" s="4">
        <f t="shared" si="20"/>
        <v>20846.076264767653</v>
      </c>
      <c r="AC10" s="4">
        <f t="shared" si="21"/>
        <v>2754.8992458326466</v>
      </c>
      <c r="AD10" s="4">
        <f t="shared" si="22"/>
        <v>2605.7595330959566</v>
      </c>
      <c r="AE10" s="4">
        <f t="shared" si="23"/>
        <v>2700</v>
      </c>
      <c r="AF10" s="1" t="str">
        <f>IF(AND($AC10&lt;=$AE10,SUMPRODUCT(--($AC$3:$AC10&gt;$AE$3:$AE10))=0,OR($W10=MES_MAX_BEDS,$AC11&gt;$AE11)),"P ≈ MC","")</f>
        <v/>
      </c>
    </row>
    <row r="11" spans="1:32" x14ac:dyDescent="0.25">
      <c r="A11" s="5">
        <v>9</v>
      </c>
      <c r="B11" s="7">
        <f t="shared" si="0"/>
        <v>1909.9376297100011</v>
      </c>
      <c r="C11" s="4">
        <f t="shared" si="1"/>
        <v>45658.639404687521</v>
      </c>
      <c r="D11" s="4">
        <f t="shared" si="2"/>
        <v>7920</v>
      </c>
      <c r="E11" s="4">
        <f t="shared" si="3"/>
        <v>53578.639404687521</v>
      </c>
      <c r="F11" s="4">
        <f t="shared" si="4"/>
        <v>53578.639404687521</v>
      </c>
      <c r="G11" s="4">
        <f t="shared" si="5"/>
        <v>7243.7792796875074</v>
      </c>
      <c r="H11" s="4">
        <f t="shared" si="6"/>
        <v>5953.182156076391</v>
      </c>
      <c r="I11" s="4">
        <f t="shared" si="7"/>
        <v>8800</v>
      </c>
      <c r="J11" s="1" t="str">
        <f>IF(AND($G11&lt;=$I11,SUMPRODUCT(--($G$3:$G11&gt;$I$3:$I11))=0,OR($A11=TOM_MAX_BEDS,$G12&gt;$I12)),"P ≈ MC","")</f>
        <v/>
      </c>
      <c r="L11" s="5">
        <v>9</v>
      </c>
      <c r="M11" s="7">
        <f t="shared" si="8"/>
        <v>337.19300188586965</v>
      </c>
      <c r="N11" s="4">
        <f t="shared" si="9"/>
        <v>11708.090343259362</v>
      </c>
      <c r="O11" s="4">
        <f t="shared" si="10"/>
        <v>3960</v>
      </c>
      <c r="P11" s="4">
        <f t="shared" si="11"/>
        <v>15668.090343259362</v>
      </c>
      <c r="Q11" s="4">
        <f t="shared" si="12"/>
        <v>15668.090343259362</v>
      </c>
      <c r="R11" s="4">
        <f t="shared" si="13"/>
        <v>1994.7328640100477</v>
      </c>
      <c r="S11" s="4">
        <f t="shared" si="14"/>
        <v>1740.898927028818</v>
      </c>
      <c r="T11" s="4">
        <f t="shared" si="15"/>
        <v>2094</v>
      </c>
      <c r="U11" s="1" t="str">
        <f>IF(AND($R11&lt;=$T11,SUMPRODUCT(--($R$3:$R11&gt;$T$3:$T11))=0,OR($L11=CAR_MAX_BEDS,$R12&gt;$T12)),"P ≈ MC","")</f>
        <v/>
      </c>
      <c r="W11" s="5">
        <v>9</v>
      </c>
      <c r="X11" s="7">
        <f t="shared" si="16"/>
        <v>452.90833186570285</v>
      </c>
      <c r="Y11" s="4">
        <f t="shared" si="17"/>
        <v>15725.983745336904</v>
      </c>
      <c r="Z11" s="4">
        <f t="shared" si="18"/>
        <v>7920</v>
      </c>
      <c r="AA11" s="4">
        <f t="shared" si="19"/>
        <v>23645.983745336904</v>
      </c>
      <c r="AB11" s="4">
        <f t="shared" si="20"/>
        <v>23645.983745336904</v>
      </c>
      <c r="AC11" s="4">
        <f t="shared" si="21"/>
        <v>2799.9074805692508</v>
      </c>
      <c r="AD11" s="4">
        <f t="shared" si="22"/>
        <v>2627.331527259656</v>
      </c>
      <c r="AE11" s="4">
        <f t="shared" si="23"/>
        <v>2700</v>
      </c>
      <c r="AF11" s="1" t="str">
        <f>IF(AND($AC11&lt;=$AE11,SUMPRODUCT(--($AC$3:$AC11&gt;$AE$3:$AE11))=0,OR($W11=MES_MAX_BEDS,$AC12&gt;$AE12)),"P ≈ MC","")</f>
        <v/>
      </c>
    </row>
    <row r="12" spans="1:32" x14ac:dyDescent="0.25">
      <c r="A12" s="5">
        <v>10</v>
      </c>
      <c r="B12" s="7">
        <f t="shared" si="0"/>
        <v>2334.3682140900019</v>
      </c>
      <c r="C12" s="4">
        <f t="shared" si="1"/>
        <v>53027.225939062533</v>
      </c>
      <c r="D12" s="4">
        <f t="shared" si="2"/>
        <v>8800</v>
      </c>
      <c r="E12" s="4">
        <f t="shared" si="3"/>
        <v>61827.225939062533</v>
      </c>
      <c r="F12" s="4">
        <f t="shared" si="4"/>
        <v>61827.225939062533</v>
      </c>
      <c r="G12" s="4">
        <f t="shared" si="5"/>
        <v>8248.586534375012</v>
      </c>
      <c r="H12" s="4">
        <f t="shared" si="6"/>
        <v>6182.7225939062537</v>
      </c>
      <c r="I12" s="4">
        <f t="shared" si="7"/>
        <v>8800</v>
      </c>
      <c r="J12" s="1" t="str">
        <f>IF(AND($G12&lt;=$I12,SUMPRODUCT(--($G$3:$G12&gt;$I$3:$I12))=0,OR($A12=TOM_MAX_BEDS,$G13&gt;$I13)),"P ≈ MC","")</f>
        <v>P ≈ MC</v>
      </c>
      <c r="L12" s="5">
        <v>10</v>
      </c>
      <c r="M12" s="7">
        <f t="shared" si="8"/>
        <v>384.02536325890713</v>
      </c>
      <c r="N12" s="4">
        <f t="shared" si="9"/>
        <v>13334.214002045386</v>
      </c>
      <c r="O12" s="4">
        <f t="shared" si="10"/>
        <v>4400</v>
      </c>
      <c r="P12" s="4">
        <f t="shared" si="11"/>
        <v>17734.214002045388</v>
      </c>
      <c r="Q12" s="4">
        <f t="shared" si="12"/>
        <v>17734.214002045388</v>
      </c>
      <c r="R12" s="4">
        <f t="shared" si="13"/>
        <v>2066.1236587860258</v>
      </c>
      <c r="S12" s="4">
        <f t="shared" si="14"/>
        <v>1773.4214002045387</v>
      </c>
      <c r="T12" s="4">
        <f t="shared" si="15"/>
        <v>2094</v>
      </c>
      <c r="U12" s="1" t="str">
        <f>IF(AND($R12&lt;=$T12,SUMPRODUCT(--($R$3:$R12&gt;$T$3:$T12))=0,OR($L12=CAR_MAX_BEDS,$R13&gt;$T13)),"P ≈ MC","")</f>
        <v>P ≈ MC</v>
      </c>
      <c r="W12" s="5">
        <v>10</v>
      </c>
      <c r="X12" s="7">
        <f t="shared" si="16"/>
        <v>509.52187334891573</v>
      </c>
      <c r="Y12" s="4">
        <f t="shared" si="17"/>
        <v>17691.731713504018</v>
      </c>
      <c r="Z12" s="4">
        <f t="shared" si="18"/>
        <v>8800</v>
      </c>
      <c r="AA12" s="4">
        <f t="shared" si="19"/>
        <v>26491.731713504018</v>
      </c>
      <c r="AB12" s="4">
        <f t="shared" si="20"/>
        <v>26491.731713504018</v>
      </c>
      <c r="AC12" s="4">
        <f t="shared" si="21"/>
        <v>2845.7479681671139</v>
      </c>
      <c r="AD12" s="4">
        <f t="shared" si="22"/>
        <v>2649.1731713504018</v>
      </c>
      <c r="AE12" s="4">
        <f t="shared" si="23"/>
        <v>2700</v>
      </c>
      <c r="AF12" s="1" t="str">
        <f>IF(AND($AC12&lt;=$AE12,SUMPRODUCT(--($AC$3:$AC12&gt;$AE$3:$AE12))=0,OR($W12=MES_MAX_BEDS,$AC13&gt;$AE13)),"P ≈ MC","")</f>
        <v/>
      </c>
    </row>
    <row r="13" spans="1:32" x14ac:dyDescent="0.25">
      <c r="A13" s="5">
        <v>11</v>
      </c>
      <c r="B13" s="7">
        <f t="shared" si="0"/>
        <v>2824.5855390489023</v>
      </c>
      <c r="C13" s="4">
        <f t="shared" si="1"/>
        <v>61537.943386265666</v>
      </c>
      <c r="D13" s="4">
        <f t="shared" si="2"/>
        <v>9680</v>
      </c>
      <c r="E13" s="4">
        <f t="shared" si="3"/>
        <v>71217.943386265659</v>
      </c>
      <c r="F13" s="4">
        <f t="shared" si="4"/>
        <v>71217.943386265659</v>
      </c>
      <c r="G13" s="4">
        <f t="shared" si="5"/>
        <v>9390.7174472031256</v>
      </c>
      <c r="H13" s="4">
        <f t="shared" si="6"/>
        <v>6474.3584896605144</v>
      </c>
      <c r="I13" s="4">
        <f t="shared" si="7"/>
        <v>8800</v>
      </c>
      <c r="J13" s="1" t="str">
        <f>IF(AND($G13&lt;=$I13,SUMPRODUCT(--($G$3:$G13&gt;$I$3:$I13))=0,OR($A13=TOM_MAX_BEDS,$G14&gt;$I14)),"P ≈ MC","")</f>
        <v/>
      </c>
      <c r="L13" s="5">
        <v>11</v>
      </c>
      <c r="M13" s="7">
        <f t="shared" si="8"/>
        <v>432.98859707441784</v>
      </c>
      <c r="N13" s="4">
        <f t="shared" si="9"/>
        <v>15034.326287306174</v>
      </c>
      <c r="O13" s="4">
        <f t="shared" si="10"/>
        <v>4840</v>
      </c>
      <c r="P13" s="4">
        <f t="shared" si="11"/>
        <v>19874.326287306176</v>
      </c>
      <c r="Q13" s="4">
        <f t="shared" si="12"/>
        <v>19874.326287306176</v>
      </c>
      <c r="R13" s="4">
        <f t="shared" si="13"/>
        <v>2140.1122852607878</v>
      </c>
      <c r="S13" s="4">
        <f t="shared" si="14"/>
        <v>1806.7569352096523</v>
      </c>
      <c r="T13" s="4">
        <f t="shared" si="15"/>
        <v>2094</v>
      </c>
      <c r="U13" s="1" t="str">
        <f>IF(AND($R13&lt;=$T13,SUMPRODUCT(--($R$3:$R13&gt;$T$3:$T13))=0,OR($L13=CAR_MAX_BEDS,$R14&gt;$T14)),"P ≈ MC","")</f>
        <v/>
      </c>
      <c r="W13" s="5">
        <v>11</v>
      </c>
      <c r="X13" s="7">
        <f t="shared" si="16"/>
        <v>567.47998644235474</v>
      </c>
      <c r="Y13" s="4">
        <f t="shared" si="17"/>
        <v>19704.166195915095</v>
      </c>
      <c r="Z13" s="4">
        <f t="shared" si="18"/>
        <v>9680</v>
      </c>
      <c r="AA13" s="4">
        <f t="shared" si="19"/>
        <v>29384.166195915095</v>
      </c>
      <c r="AB13" s="4">
        <f t="shared" si="20"/>
        <v>29384.166195915095</v>
      </c>
      <c r="AC13" s="4">
        <f t="shared" si="21"/>
        <v>2892.4344824110776</v>
      </c>
      <c r="AD13" s="4">
        <f t="shared" si="22"/>
        <v>2671.2878359922815</v>
      </c>
      <c r="AE13" s="4">
        <f t="shared" si="23"/>
        <v>2700</v>
      </c>
      <c r="AF13" s="1" t="str">
        <f>IF(AND($AC13&lt;=$AE13,SUMPRODUCT(--($AC$3:$AC13&gt;$AE$3:$AE13))=0,OR($W13=MES_MAX_BEDS,$AC14&gt;$AE14)),"P ≈ MC","")</f>
        <v/>
      </c>
    </row>
    <row r="14" spans="1:32" x14ac:dyDescent="0.25">
      <c r="A14" s="5">
        <v>12</v>
      </c>
      <c r="B14" s="7">
        <f t="shared" si="0"/>
        <v>3389.502646858683</v>
      </c>
      <c r="C14" s="4">
        <f t="shared" si="1"/>
        <v>71345.532063518796</v>
      </c>
      <c r="D14" s="4">
        <f t="shared" si="2"/>
        <v>10560</v>
      </c>
      <c r="E14" s="4">
        <f t="shared" si="3"/>
        <v>81905.532063518796</v>
      </c>
      <c r="F14" s="4">
        <f t="shared" si="4"/>
        <v>81905.532063518796</v>
      </c>
      <c r="G14" s="4">
        <f t="shared" si="5"/>
        <v>10687.588677253138</v>
      </c>
      <c r="H14" s="4">
        <f t="shared" si="6"/>
        <v>6825.461005293233</v>
      </c>
      <c r="I14" s="4">
        <f t="shared" si="7"/>
        <v>8800</v>
      </c>
      <c r="J14" s="1" t="str">
        <f>IF(AND($G14&lt;=$I14,SUMPRODUCT(--($G$3:$G14&gt;$I$3:$I14))=0,OR($A14=TOM_MAX_BEDS,$G15&gt;$I15)),"P ≈ MC","")</f>
        <v/>
      </c>
      <c r="L14" s="5">
        <v>12</v>
      </c>
      <c r="M14" s="7">
        <f t="shared" si="8"/>
        <v>484.15997672866712</v>
      </c>
      <c r="N14" s="4">
        <f t="shared" si="9"/>
        <v>16811.11030307872</v>
      </c>
      <c r="O14" s="4">
        <f t="shared" si="10"/>
        <v>5280</v>
      </c>
      <c r="P14" s="4">
        <f t="shared" si="11"/>
        <v>22091.11030307872</v>
      </c>
      <c r="Q14" s="4">
        <f t="shared" si="12"/>
        <v>22091.11030307872</v>
      </c>
      <c r="R14" s="4">
        <f t="shared" si="13"/>
        <v>2216.7840157725441</v>
      </c>
      <c r="S14" s="4">
        <f t="shared" si="14"/>
        <v>1840.9258585898933</v>
      </c>
      <c r="T14" s="4">
        <f t="shared" si="15"/>
        <v>2094</v>
      </c>
      <c r="U14" s="1" t="str">
        <f>IF(AND($R14&lt;=$T14,SUMPRODUCT(--($R$3:$R14&gt;$T$3:$T14))=0,OR($L14=CAR_MAX_BEDS,$R15&gt;$T15)),"P ≈ MC","")</f>
        <v/>
      </c>
      <c r="W14" s="5">
        <v>12</v>
      </c>
      <c r="X14" s="7">
        <f t="shared" si="16"/>
        <v>626.80743957041921</v>
      </c>
      <c r="Y14" s="4">
        <f t="shared" si="17"/>
        <v>21764.147207306221</v>
      </c>
      <c r="Z14" s="4">
        <f t="shared" si="18"/>
        <v>10560</v>
      </c>
      <c r="AA14" s="4">
        <f t="shared" si="19"/>
        <v>32324.147207306221</v>
      </c>
      <c r="AB14" s="4">
        <f t="shared" si="20"/>
        <v>32324.147207306221</v>
      </c>
      <c r="AC14" s="4">
        <f t="shared" si="21"/>
        <v>2939.9810113911262</v>
      </c>
      <c r="AD14" s="4">
        <f t="shared" si="22"/>
        <v>2693.6789339421853</v>
      </c>
      <c r="AE14" s="4">
        <f t="shared" si="23"/>
        <v>2700</v>
      </c>
      <c r="AF14" s="1" t="str">
        <f>IF(AND($AC14&lt;=$AE14,SUMPRODUCT(--($AC$3:$AC14&gt;$AE$3:$AE14))=0,OR($W14=MES_MAX_BEDS,$AC15&gt;$AE15)),"P ≈ MC","")</f>
        <v/>
      </c>
    </row>
    <row r="15" spans="1:32" x14ac:dyDescent="0.25">
      <c r="A15" s="5">
        <v>13</v>
      </c>
      <c r="B15" s="7">
        <f t="shared" si="0"/>
        <v>4039.1573208399304</v>
      </c>
      <c r="C15" s="4">
        <f t="shared" si="1"/>
        <v>82624.259042359903</v>
      </c>
      <c r="D15" s="4">
        <f t="shared" si="2"/>
        <v>11440</v>
      </c>
      <c r="E15" s="4">
        <f t="shared" si="3"/>
        <v>94064.259042359903</v>
      </c>
      <c r="F15" s="4">
        <f t="shared" si="4"/>
        <v>94064.259042359903</v>
      </c>
      <c r="G15" s="4">
        <f t="shared" si="5"/>
        <v>12158.726978841107</v>
      </c>
      <c r="H15" s="4">
        <f t="shared" si="6"/>
        <v>7235.7122340276846</v>
      </c>
      <c r="I15" s="4">
        <f t="shared" si="7"/>
        <v>8800</v>
      </c>
      <c r="J15" s="1" t="str">
        <f>IF(AND($G15&lt;=$I15,SUMPRODUCT(--($G$3:$G15&gt;$I$3:$I15))=0,OR($A15=TOM_MAX_BEDS,$G16&gt;$I16)),"P ≈ MC","")</f>
        <v/>
      </c>
      <c r="L15" s="5">
        <v>13</v>
      </c>
      <c r="M15" s="7">
        <f t="shared" si="8"/>
        <v>537.61930749245744</v>
      </c>
      <c r="N15" s="4">
        <f t="shared" si="9"/>
        <v>18667.337065710326</v>
      </c>
      <c r="O15" s="4">
        <f t="shared" si="10"/>
        <v>5720</v>
      </c>
      <c r="P15" s="4">
        <f t="shared" si="11"/>
        <v>24387.337065710326</v>
      </c>
      <c r="Q15" s="4">
        <f t="shared" si="12"/>
        <v>24387.337065710326</v>
      </c>
      <c r="R15" s="4">
        <f t="shared" si="13"/>
        <v>2296.2267626316061</v>
      </c>
      <c r="S15" s="4">
        <f t="shared" si="14"/>
        <v>1875.9490050546406</v>
      </c>
      <c r="T15" s="4">
        <f t="shared" si="15"/>
        <v>2094</v>
      </c>
      <c r="U15" s="1" t="str">
        <f>IF(AND($R15&lt;=$T15,SUMPRODUCT(--($R$3:$R15&gt;$T$3:$T15))=0,OR($L15=CAR_MAX_BEDS,$R16&gt;$T16)),"P ≈ MC","")</f>
        <v/>
      </c>
      <c r="W15" s="5">
        <v>13</v>
      </c>
      <c r="X15" s="7">
        <f t="shared" si="16"/>
        <v>687.52941027880343</v>
      </c>
      <c r="Y15" s="4">
        <f t="shared" si="17"/>
        <v>23872.548968014009</v>
      </c>
      <c r="Z15" s="4">
        <f t="shared" si="18"/>
        <v>11440</v>
      </c>
      <c r="AA15" s="4">
        <f t="shared" si="19"/>
        <v>35312.548968014009</v>
      </c>
      <c r="AB15" s="4">
        <f t="shared" si="20"/>
        <v>35312.548968014009</v>
      </c>
      <c r="AC15" s="4">
        <f t="shared" si="21"/>
        <v>2988.4017607077876</v>
      </c>
      <c r="AD15" s="4">
        <f t="shared" si="22"/>
        <v>2716.3499206164624</v>
      </c>
      <c r="AE15" s="4">
        <f t="shared" si="23"/>
        <v>2700</v>
      </c>
      <c r="AF15" s="1" t="str">
        <f>IF(AND($AC15&lt;=$AE15,SUMPRODUCT(--($AC$3:$AC15&gt;$AE$3:$AE15))=0,OR($W15=MES_MAX_BEDS,$AC16&gt;$AE16)),"P ≈ MC","")</f>
        <v/>
      </c>
    </row>
    <row r="16" spans="1:32" x14ac:dyDescent="0.25">
      <c r="A16" s="5">
        <v>14</v>
      </c>
      <c r="B16" s="7">
        <f t="shared" si="0"/>
        <v>4784.8479031488414</v>
      </c>
      <c r="C16" s="4">
        <f t="shared" si="1"/>
        <v>95570.276096334055</v>
      </c>
      <c r="D16" s="4">
        <f t="shared" si="2"/>
        <v>12320</v>
      </c>
      <c r="E16" s="4">
        <f t="shared" si="3"/>
        <v>107890.27609633406</v>
      </c>
      <c r="F16" s="4">
        <f t="shared" si="4"/>
        <v>107890.27609633406</v>
      </c>
      <c r="G16" s="4">
        <f t="shared" si="5"/>
        <v>13826.017053974152</v>
      </c>
      <c r="H16" s="4">
        <f t="shared" si="6"/>
        <v>7706.4482925952898</v>
      </c>
      <c r="I16" s="4">
        <f t="shared" si="7"/>
        <v>8800</v>
      </c>
      <c r="J16" s="1" t="str">
        <f>IF(AND($G16&lt;=$I16,SUMPRODUCT(--($G$3:$G16&gt;$I$3:$I16))=0,OR($A16=TOM_MAX_BEDS,$G17&gt;$I17)),"P ≈ MC","")</f>
        <v/>
      </c>
      <c r="L16" s="5">
        <v>14</v>
      </c>
      <c r="M16" s="7">
        <f t="shared" si="8"/>
        <v>593.44900480898184</v>
      </c>
      <c r="N16" s="4">
        <f t="shared" si="9"/>
        <v>20605.868222534093</v>
      </c>
      <c r="O16" s="4">
        <f t="shared" si="10"/>
        <v>6160</v>
      </c>
      <c r="P16" s="4">
        <f t="shared" si="11"/>
        <v>26765.868222534093</v>
      </c>
      <c r="Q16" s="4">
        <f t="shared" si="12"/>
        <v>26765.868222534093</v>
      </c>
      <c r="R16" s="4">
        <f t="shared" si="13"/>
        <v>2378.5311568237667</v>
      </c>
      <c r="S16" s="4">
        <f t="shared" si="14"/>
        <v>1911.8477301810067</v>
      </c>
      <c r="T16" s="4">
        <f t="shared" si="15"/>
        <v>2094</v>
      </c>
      <c r="U16" s="1" t="str">
        <f>IF(AND($R16&lt;=$T16,SUMPRODUCT(--($R$3:$R16&gt;$T$3:$T16))=0,OR($L16=CAR_MAX_BEDS,$R17&gt;$T17)),"P ≈ MC","")</f>
        <v/>
      </c>
      <c r="W16" s="5">
        <v>14</v>
      </c>
      <c r="X16" s="7">
        <f t="shared" si="16"/>
        <v>749.67149159246469</v>
      </c>
      <c r="Y16" s="4">
        <f t="shared" si="17"/>
        <v>25515.130062369179</v>
      </c>
      <c r="Z16" s="4">
        <f t="shared" si="18"/>
        <v>12320</v>
      </c>
      <c r="AA16" s="4">
        <f t="shared" si="19"/>
        <v>37835.130062369179</v>
      </c>
      <c r="AB16" s="4">
        <f t="shared" si="20"/>
        <v>37835.130062369179</v>
      </c>
      <c r="AC16" s="4">
        <f t="shared" si="21"/>
        <v>2522.5810943551696</v>
      </c>
      <c r="AD16" s="4">
        <f t="shared" si="22"/>
        <v>2702.5092901692269</v>
      </c>
      <c r="AE16" s="4">
        <f t="shared" si="23"/>
        <v>2700</v>
      </c>
      <c r="AF16" s="1" t="str">
        <f>IF(AND($AC16&lt;=$AE16,SUMPRODUCT(--($AC$3:$AC16&gt;$AE$3:$AE16))=0,OR($W16=MES_MAX_BEDS,$AC17&gt;$AE17)),"P ≈ MC","")</f>
        <v/>
      </c>
    </row>
    <row r="17" spans="1:32" x14ac:dyDescent="0.25">
      <c r="A17" s="5">
        <v>15</v>
      </c>
      <c r="B17" s="7">
        <f t="shared" si="0"/>
        <v>5639.2850287111351</v>
      </c>
      <c r="C17" s="4">
        <f t="shared" si="1"/>
        <v>110404.25397067942</v>
      </c>
      <c r="D17" s="4">
        <f t="shared" si="2"/>
        <v>13200</v>
      </c>
      <c r="E17" s="4">
        <f t="shared" si="3"/>
        <v>123604.25397067942</v>
      </c>
      <c r="F17" s="4">
        <f t="shared" si="4"/>
        <v>123604.25397067942</v>
      </c>
      <c r="G17" s="4">
        <f t="shared" si="5"/>
        <v>15713.977874345364</v>
      </c>
      <c r="H17" s="4">
        <f t="shared" si="6"/>
        <v>8240.2835980452946</v>
      </c>
      <c r="I17" s="4">
        <f t="shared" si="7"/>
        <v>8800</v>
      </c>
      <c r="J17" s="1" t="str">
        <f>IF(AND($G17&lt;=$I17,SUMPRODUCT(--($G$3:$G17&gt;$I$3:$I17))=0,OR($A17=TOM_MAX_BEDS,$G18&gt;$I18)),"P ≈ MC","")</f>
        <v/>
      </c>
      <c r="L17" s="5">
        <v>15</v>
      </c>
      <c r="M17" s="7">
        <f t="shared" si="8"/>
        <v>651.73417492414967</v>
      </c>
      <c r="N17" s="4">
        <f t="shared" si="9"/>
        <v>22629.658851532975</v>
      </c>
      <c r="O17" s="4">
        <f t="shared" si="10"/>
        <v>6600</v>
      </c>
      <c r="P17" s="4">
        <f t="shared" si="11"/>
        <v>29229.658851532975</v>
      </c>
      <c r="Q17" s="4">
        <f t="shared" si="12"/>
        <v>29229.658851532975</v>
      </c>
      <c r="R17" s="4">
        <f t="shared" si="13"/>
        <v>2463.7906289988823</v>
      </c>
      <c r="S17" s="4">
        <f t="shared" si="14"/>
        <v>1948.6439234355316</v>
      </c>
      <c r="T17" s="4">
        <f t="shared" si="15"/>
        <v>2094</v>
      </c>
      <c r="U17" s="1" t="str">
        <f>IF(AND($R17&lt;=$T17,SUMPRODUCT(--($R$3:$R17&gt;$T$3:$T17))=0,OR($L17=CAR_MAX_BEDS,$R18&gt;$T18)),"P ≈ MC","")</f>
        <v/>
      </c>
      <c r="W17" s="5">
        <v>15</v>
      </c>
      <c r="X17" s="7">
        <f t="shared" si="16"/>
        <v>813.25969846861108</v>
      </c>
      <c r="Y17" s="4">
        <f t="shared" si="17"/>
        <v>26619.091987302276</v>
      </c>
      <c r="Z17" s="4">
        <f t="shared" si="18"/>
        <v>13200</v>
      </c>
      <c r="AA17" s="4">
        <f t="shared" si="19"/>
        <v>39819.091987302279</v>
      </c>
      <c r="AB17" s="4">
        <f t="shared" si="20"/>
        <v>39819.091987302279</v>
      </c>
      <c r="AC17" s="4">
        <f t="shared" si="21"/>
        <v>1983.9619249331008</v>
      </c>
      <c r="AD17" s="4">
        <f t="shared" si="22"/>
        <v>2654.6061324868188</v>
      </c>
      <c r="AE17" s="4">
        <f t="shared" si="23"/>
        <v>2700</v>
      </c>
      <c r="AF17" s="1" t="str">
        <f>IF(AND($AC17&lt;=$AE17,SUMPRODUCT(--($AC$3:$AC17&gt;$AE$3:$AE17))=0,OR($W17=MES_MAX_BEDS,$AC18&gt;$AE18)),"P ≈ MC","")</f>
        <v/>
      </c>
    </row>
    <row r="18" spans="1:32" x14ac:dyDescent="0.25">
      <c r="A18" s="5">
        <v>16</v>
      </c>
      <c r="B18" s="7">
        <f t="shared" si="0"/>
        <v>6616.761100354398</v>
      </c>
      <c r="C18" s="4">
        <f t="shared" si="1"/>
        <v>127374.32465893052</v>
      </c>
      <c r="D18" s="4">
        <f t="shared" si="2"/>
        <v>14080</v>
      </c>
      <c r="E18" s="4">
        <f t="shared" si="3"/>
        <v>141454.32465893053</v>
      </c>
      <c r="F18" s="4">
        <f t="shared" si="4"/>
        <v>141454.32465893053</v>
      </c>
      <c r="G18" s="4">
        <f t="shared" si="5"/>
        <v>17850.070688251115</v>
      </c>
      <c r="H18" s="4">
        <f t="shared" si="6"/>
        <v>8840.8952911831584</v>
      </c>
      <c r="I18" s="4">
        <f t="shared" si="7"/>
        <v>8800</v>
      </c>
      <c r="J18" s="1" t="str">
        <f>IF(AND($G18&lt;=$I18,SUMPRODUCT(--($G$3:$G18&gt;$I$3:$I18))=0,OR($A18=TOM_MAX_BEDS,$G19&gt;$I19)),"P ≈ MC","")</f>
        <v/>
      </c>
      <c r="L18" s="5">
        <v>16</v>
      </c>
      <c r="M18" s="7">
        <f t="shared" si="8"/>
        <v>712.5626979170703</v>
      </c>
      <c r="N18" s="4">
        <f t="shared" si="9"/>
        <v>24741.760344342718</v>
      </c>
      <c r="O18" s="4">
        <f t="shared" si="10"/>
        <v>7040</v>
      </c>
      <c r="P18" s="4">
        <f t="shared" si="11"/>
        <v>31781.760344342718</v>
      </c>
      <c r="Q18" s="4">
        <f t="shared" si="12"/>
        <v>31781.760344342718</v>
      </c>
      <c r="R18" s="4">
        <f t="shared" si="13"/>
        <v>2552.1014928097429</v>
      </c>
      <c r="S18" s="4">
        <f t="shared" si="14"/>
        <v>1986.3600215214199</v>
      </c>
      <c r="T18" s="4">
        <f t="shared" si="15"/>
        <v>2094</v>
      </c>
      <c r="U18" s="1" t="str">
        <f>IF(AND($R18&lt;=$T18,SUMPRODUCT(--($R$3:$R18&gt;$T$3:$T18))=0,OR($L18=CAR_MAX_BEDS,$R19&gt;$T19)),"P ≈ MC","")</f>
        <v/>
      </c>
      <c r="W18" s="5">
        <v>16</v>
      </c>
      <c r="X18" s="7">
        <f t="shared" si="16"/>
        <v>878.32047434610013</v>
      </c>
      <c r="Y18" s="4">
        <f t="shared" si="17"/>
        <v>27748.619346286461</v>
      </c>
      <c r="Z18" s="4">
        <f t="shared" si="18"/>
        <v>14080</v>
      </c>
      <c r="AA18" s="4">
        <f t="shared" si="19"/>
        <v>41828.619346286461</v>
      </c>
      <c r="AB18" s="4">
        <f t="shared" si="20"/>
        <v>41828.619346286461</v>
      </c>
      <c r="AC18" s="4">
        <f t="shared" si="21"/>
        <v>2009.5273589841818</v>
      </c>
      <c r="AD18" s="4">
        <f t="shared" si="22"/>
        <v>2614.2887091429038</v>
      </c>
      <c r="AE18" s="4">
        <f t="shared" si="23"/>
        <v>2700</v>
      </c>
      <c r="AF18" s="1" t="str">
        <f>IF(AND($AC18&lt;=$AE18,SUMPRODUCT(--($AC$3:$AC18&gt;$AE$3:$AE18))=0,OR($W18=MES_MAX_BEDS,$AC19&gt;$AE19)),"P ≈ MC","")</f>
        <v/>
      </c>
    </row>
    <row r="19" spans="1:32" x14ac:dyDescent="0.25">
      <c r="A19" s="5">
        <v>17</v>
      </c>
      <c r="B19" s="7">
        <f t="shared" si="0"/>
        <v>7733.3395360392033</v>
      </c>
      <c r="C19" s="4">
        <f t="shared" si="1"/>
        <v>146759.36694512505</v>
      </c>
      <c r="D19" s="4">
        <f t="shared" si="2"/>
        <v>14960</v>
      </c>
      <c r="E19" s="4">
        <f t="shared" si="3"/>
        <v>161719.36694512505</v>
      </c>
      <c r="F19" s="4">
        <f t="shared" si="4"/>
        <v>161719.36694512505</v>
      </c>
      <c r="G19" s="4">
        <f t="shared" si="5"/>
        <v>20265.042286194512</v>
      </c>
      <c r="H19" s="4">
        <f t="shared" si="6"/>
        <v>9512.903937948533</v>
      </c>
      <c r="I19" s="4">
        <f t="shared" si="7"/>
        <v>8800</v>
      </c>
      <c r="J19" s="1" t="str">
        <f>IF(AND($G19&lt;=$I19,SUMPRODUCT(--($G$3:$G19&gt;$I$3:$I19))=0,OR($A19=TOM_MAX_BEDS,$G20&gt;$I20)),"P ≈ MC","")</f>
        <v/>
      </c>
      <c r="L19" s="5">
        <v>17</v>
      </c>
      <c r="M19" s="7">
        <f t="shared" si="8"/>
        <v>776.02531320030937</v>
      </c>
      <c r="N19" s="4">
        <f t="shared" si="9"/>
        <v>25972.66168750537</v>
      </c>
      <c r="O19" s="4">
        <f t="shared" si="10"/>
        <v>7480</v>
      </c>
      <c r="P19" s="4">
        <f t="shared" si="11"/>
        <v>33452.661687505373</v>
      </c>
      <c r="Q19" s="4">
        <f t="shared" si="12"/>
        <v>33452.661687505373</v>
      </c>
      <c r="R19" s="4">
        <f t="shared" si="13"/>
        <v>1670.9013431626554</v>
      </c>
      <c r="S19" s="4">
        <f t="shared" si="14"/>
        <v>1967.8036286767867</v>
      </c>
      <c r="T19" s="4">
        <f t="shared" si="15"/>
        <v>2094</v>
      </c>
      <c r="U19" s="1" t="str">
        <f>IF(AND($R19&lt;=$T19,SUMPRODUCT(--($R$3:$R19&gt;$T$3:$T19))=0,OR($L19=CAR_MAX_BEDS,$R20&gt;$T20)),"P ≈ MC","")</f>
        <v/>
      </c>
      <c r="W19" s="5">
        <v>17</v>
      </c>
      <c r="X19" s="7">
        <f t="shared" si="16"/>
        <v>944.88069779264049</v>
      </c>
      <c r="Y19" s="4">
        <f t="shared" si="17"/>
        <v>28904.178781122231</v>
      </c>
      <c r="Z19" s="4">
        <f t="shared" si="18"/>
        <v>14960</v>
      </c>
      <c r="AA19" s="4">
        <f t="shared" si="19"/>
        <v>43864.178781122231</v>
      </c>
      <c r="AB19" s="4">
        <f t="shared" si="20"/>
        <v>43864.178781122231</v>
      </c>
      <c r="AC19" s="4">
        <f t="shared" si="21"/>
        <v>2035.5594348357699</v>
      </c>
      <c r="AD19" s="4">
        <f t="shared" si="22"/>
        <v>2580.245810654249</v>
      </c>
      <c r="AE19" s="4">
        <f t="shared" si="23"/>
        <v>2700</v>
      </c>
      <c r="AF19" s="1" t="str">
        <f>IF(AND($AC19&lt;=$AE19,SUMPRODUCT(--($AC$3:$AC19&gt;$AE$3:$AE19))=0,OR($W19=MES_MAX_BEDS,$AC20&gt;$AE20)),"P ≈ MC","")</f>
        <v/>
      </c>
    </row>
    <row r="20" spans="1:32" x14ac:dyDescent="0.25">
      <c r="A20" s="5">
        <v>18</v>
      </c>
      <c r="B20" s="7">
        <f t="shared" si="0"/>
        <v>9007.0660478574246</v>
      </c>
      <c r="C20" s="4">
        <f t="shared" si="1"/>
        <v>168872.67444196917</v>
      </c>
      <c r="D20" s="4">
        <f t="shared" si="2"/>
        <v>15840</v>
      </c>
      <c r="E20" s="4">
        <f t="shared" si="3"/>
        <v>184712.67444196917</v>
      </c>
      <c r="F20" s="4">
        <f t="shared" si="4"/>
        <v>184712.67444196917</v>
      </c>
      <c r="G20" s="4">
        <f t="shared" si="5"/>
        <v>22993.307496844121</v>
      </c>
      <c r="H20" s="4">
        <f t="shared" si="6"/>
        <v>10261.815246776065</v>
      </c>
      <c r="I20" s="4">
        <f t="shared" si="7"/>
        <v>8800</v>
      </c>
      <c r="J20" s="1" t="str">
        <f>IF(AND($G20&lt;=$I20,SUMPRODUCT(--($G$3:$G20&gt;$I$3:$I20))=0,OR($A20=TOM_MAX_BEDS,$G21&gt;$I21)),"P ≈ MC","")</f>
        <v/>
      </c>
      <c r="L20" s="5">
        <v>18</v>
      </c>
      <c r="M20" s="7">
        <f t="shared" si="8"/>
        <v>842.2157075615122</v>
      </c>
      <c r="N20" s="4">
        <f t="shared" si="9"/>
        <v>27121.800478498477</v>
      </c>
      <c r="O20" s="4">
        <f t="shared" si="10"/>
        <v>7920</v>
      </c>
      <c r="P20" s="4">
        <f t="shared" si="11"/>
        <v>35041.800478498481</v>
      </c>
      <c r="Q20" s="4">
        <f t="shared" si="12"/>
        <v>35041.800478498481</v>
      </c>
      <c r="R20" s="4">
        <f t="shared" si="13"/>
        <v>1589.1387909931072</v>
      </c>
      <c r="S20" s="4">
        <f t="shared" si="14"/>
        <v>1946.7666932499155</v>
      </c>
      <c r="T20" s="4">
        <f t="shared" si="15"/>
        <v>2094</v>
      </c>
      <c r="U20" s="1" t="str">
        <f>IF(AND($R20&lt;=$T20,SUMPRODUCT(--($R$3:$R20&gt;$T$3:$T20))=0,OR($L20=CAR_MAX_BEDS,$R21&gt;$T21)),"P ≈ MC","")</f>
        <v/>
      </c>
      <c r="W20" s="5">
        <v>18</v>
      </c>
      <c r="X20" s="7">
        <f t="shared" si="16"/>
        <v>1012.9676892512279</v>
      </c>
      <c r="Y20" s="4">
        <f t="shared" si="17"/>
        <v>30086.244605056039</v>
      </c>
      <c r="Z20" s="4">
        <f t="shared" si="18"/>
        <v>15840</v>
      </c>
      <c r="AA20" s="4">
        <f t="shared" si="19"/>
        <v>45926.244605056039</v>
      </c>
      <c r="AB20" s="4">
        <f t="shared" si="20"/>
        <v>45926.244605056039</v>
      </c>
      <c r="AC20" s="4">
        <f t="shared" si="21"/>
        <v>2062.0658239338081</v>
      </c>
      <c r="AD20" s="4">
        <f t="shared" si="22"/>
        <v>2551.4580336142244</v>
      </c>
      <c r="AE20" s="4">
        <f t="shared" si="23"/>
        <v>2700</v>
      </c>
      <c r="AF20" s="1" t="str">
        <f>IF(AND($AC20&lt;=$AE20,SUMPRODUCT(--($AC$3:$AC20&gt;$AE$3:$AE20))=0,OR($W20=MES_MAX_BEDS,$AC21&gt;$AE21)),"P ≈ MC","")</f>
        <v/>
      </c>
    </row>
    <row r="21" spans="1:32" x14ac:dyDescent="0.25">
      <c r="A21" s="5">
        <v>19</v>
      </c>
      <c r="B21" s="7">
        <f t="shared" si="0"/>
        <v>10458.204466678902</v>
      </c>
      <c r="C21" s="4">
        <f t="shared" si="1"/>
        <v>194066.04976873094</v>
      </c>
      <c r="D21" s="4">
        <f t="shared" si="2"/>
        <v>16720</v>
      </c>
      <c r="E21" s="4">
        <f t="shared" si="3"/>
        <v>210786.04976873094</v>
      </c>
      <c r="F21" s="4">
        <f t="shared" si="4"/>
        <v>210786.04976873094</v>
      </c>
      <c r="G21" s="4">
        <f t="shared" si="5"/>
        <v>26073.375326761772</v>
      </c>
      <c r="H21" s="4">
        <f t="shared" si="6"/>
        <v>11094.002619406892</v>
      </c>
      <c r="I21" s="4">
        <f t="shared" si="7"/>
        <v>8800</v>
      </c>
      <c r="J21" s="1" t="str">
        <f>IF(AND($G21&lt;=$I21,SUMPRODUCT(--($G$3:$G21&gt;$I$3:$I21))=0,OR($A21=TOM_MAX_BEDS,$G22&gt;$I22)),"P ≈ MC","")</f>
        <v/>
      </c>
      <c r="L21" s="5">
        <v>19</v>
      </c>
      <c r="M21" s="7">
        <f t="shared" si="8"/>
        <v>911.23060582002495</v>
      </c>
      <c r="N21" s="4">
        <f t="shared" si="9"/>
        <v>28319.975795486545</v>
      </c>
      <c r="O21" s="4">
        <f t="shared" si="10"/>
        <v>8360</v>
      </c>
      <c r="P21" s="4">
        <f t="shared" si="11"/>
        <v>36679.975795486549</v>
      </c>
      <c r="Q21" s="4">
        <f t="shared" si="12"/>
        <v>36679.975795486549</v>
      </c>
      <c r="R21" s="4">
        <f t="shared" si="13"/>
        <v>1638.1753169880685</v>
      </c>
      <c r="S21" s="4">
        <f t="shared" si="14"/>
        <v>1930.5250418677131</v>
      </c>
      <c r="T21" s="4">
        <f t="shared" si="15"/>
        <v>2094</v>
      </c>
      <c r="U21" s="1" t="str">
        <f>IF(AND($R21&lt;=$T21,SUMPRODUCT(--($R$3:$R21&gt;$T$3:$T21))=0,OR($L21=CAR_MAX_BEDS,$R22&gt;$T22)),"P ≈ MC","")</f>
        <v/>
      </c>
      <c r="W21" s="5">
        <v>19</v>
      </c>
      <c r="X21" s="7">
        <f t="shared" si="16"/>
        <v>1082.6092178872495</v>
      </c>
      <c r="Y21" s="4">
        <f t="shared" si="17"/>
        <v>31295.298921653637</v>
      </c>
      <c r="Z21" s="4">
        <f t="shared" si="18"/>
        <v>16720</v>
      </c>
      <c r="AA21" s="4">
        <f t="shared" si="19"/>
        <v>48015.298921653637</v>
      </c>
      <c r="AB21" s="4">
        <f t="shared" si="20"/>
        <v>48015.298921653637</v>
      </c>
      <c r="AC21" s="4">
        <f t="shared" si="21"/>
        <v>2089.0543165975978</v>
      </c>
      <c r="AD21" s="4">
        <f t="shared" si="22"/>
        <v>2527.1209958765071</v>
      </c>
      <c r="AE21" s="4">
        <f t="shared" si="23"/>
        <v>2700</v>
      </c>
      <c r="AF21" s="1" t="str">
        <f>IF(AND($AC21&lt;=$AE21,SUMPRODUCT(--($AC$3:$AC21&gt;$AE$3:$AE21))=0,OR($W21=MES_MAX_BEDS,$AC22&gt;$AE22)),"P ≈ MC","")</f>
        <v/>
      </c>
    </row>
    <row r="22" spans="1:32" x14ac:dyDescent="0.25">
      <c r="A22" s="5">
        <v>20</v>
      </c>
      <c r="B22" s="7">
        <f t="shared" si="0"/>
        <v>12109.499908786096</v>
      </c>
      <c r="C22" s="4">
        <f t="shared" si="1"/>
        <v>222734.37341642528</v>
      </c>
      <c r="D22" s="4">
        <f t="shared" si="2"/>
        <v>17600</v>
      </c>
      <c r="E22" s="4">
        <f t="shared" si="3"/>
        <v>240334.37341642528</v>
      </c>
      <c r="F22" s="4">
        <f t="shared" si="4"/>
        <v>240334.37341642528</v>
      </c>
      <c r="G22" s="4">
        <f t="shared" si="5"/>
        <v>29548.323647694342</v>
      </c>
      <c r="H22" s="4">
        <f t="shared" si="6"/>
        <v>12016.718670821265</v>
      </c>
      <c r="I22" s="4">
        <f t="shared" si="7"/>
        <v>8800</v>
      </c>
      <c r="J22" s="1" t="str">
        <f>IF(AND($G22&lt;=$I22,SUMPRODUCT(--($G$3:$G22&gt;$I$3:$I22))=0,OR($A22=TOM_MAX_BEDS,$G23&gt;$I23)),"P ≈ MC","")</f>
        <v/>
      </c>
      <c r="L22" s="5">
        <v>20</v>
      </c>
      <c r="M22" s="7">
        <f t="shared" si="8"/>
        <v>983.16986417423732</v>
      </c>
      <c r="N22" s="4">
        <f t="shared" si="9"/>
        <v>29568.921253024953</v>
      </c>
      <c r="O22" s="4">
        <f t="shared" si="10"/>
        <v>8800</v>
      </c>
      <c r="P22" s="4">
        <f t="shared" si="11"/>
        <v>38368.92125302495</v>
      </c>
      <c r="Q22" s="4">
        <f t="shared" si="12"/>
        <v>38368.92125302495</v>
      </c>
      <c r="R22" s="4">
        <f t="shared" si="13"/>
        <v>1688.9454575384007</v>
      </c>
      <c r="S22" s="4">
        <f t="shared" si="14"/>
        <v>1918.4460626512475</v>
      </c>
      <c r="T22" s="4">
        <f t="shared" si="15"/>
        <v>2094</v>
      </c>
      <c r="U22" s="1" t="str">
        <f>IF(AND($R22&lt;=$T22,SUMPRODUCT(--($R$3:$R22&gt;$T$3:$T22))=0,OR($L22=CAR_MAX_BEDS,$R23&gt;$T23)),"P ≈ MC","")</f>
        <v/>
      </c>
      <c r="W22" s="5">
        <v>20</v>
      </c>
      <c r="X22" s="7">
        <f t="shared" si="16"/>
        <v>1153.8335085377266</v>
      </c>
      <c r="Y22" s="4">
        <f t="shared" si="17"/>
        <v>32531.831745446641</v>
      </c>
      <c r="Z22" s="4">
        <f t="shared" si="18"/>
        <v>17600</v>
      </c>
      <c r="AA22" s="4">
        <f t="shared" si="19"/>
        <v>50131.831745446645</v>
      </c>
      <c r="AB22" s="4">
        <f t="shared" si="20"/>
        <v>50131.831745446645</v>
      </c>
      <c r="AC22" s="4">
        <f t="shared" si="21"/>
        <v>2116.532823793008</v>
      </c>
      <c r="AD22" s="4">
        <f t="shared" si="22"/>
        <v>2506.5915872723322</v>
      </c>
      <c r="AE22" s="4">
        <f t="shared" si="23"/>
        <v>2700</v>
      </c>
      <c r="AF22" s="1" t="str">
        <f>IF(AND($AC22&lt;=$AE22,SUMPRODUCT(--($AC$3:$AC22&gt;$AE$3:$AE22))=0,OR($W22=MES_MAX_BEDS,$AC23&gt;$AE23)),"P ≈ MC","")</f>
        <v/>
      </c>
    </row>
    <row r="23" spans="1:32" x14ac:dyDescent="0.25">
      <c r="W23" s="5">
        <v>21</v>
      </c>
      <c r="X23" s="7">
        <f t="shared" si="16"/>
        <v>1226.6692487641703</v>
      </c>
      <c r="Y23" s="4">
        <f t="shared" si="17"/>
        <v>33796.341124377956</v>
      </c>
      <c r="Z23" s="4">
        <f t="shared" si="18"/>
        <v>18480</v>
      </c>
      <c r="AA23" s="4">
        <f t="shared" si="19"/>
        <v>52276.341124377956</v>
      </c>
      <c r="AB23" s="4">
        <f t="shared" si="20"/>
        <v>52276.341124377956</v>
      </c>
      <c r="AC23" s="4">
        <f t="shared" si="21"/>
        <v>2144.5093789313105</v>
      </c>
      <c r="AD23" s="4">
        <f t="shared" si="22"/>
        <v>2489.3495773513314</v>
      </c>
      <c r="AE23" s="4">
        <f t="shared" si="23"/>
        <v>2700</v>
      </c>
      <c r="AF23" s="1" t="str">
        <f>IF(AND($AC23&lt;=$AE23,SUMPRODUCT(--($AC$3:$AC23&gt;$AE$3:$AE23))=0,OR($W23=MES_MAX_BEDS,$AC24&gt;$AE24)),"P ≈ MC","")</f>
        <v/>
      </c>
    </row>
    <row r="24" spans="1:32" x14ac:dyDescent="0.25">
      <c r="W24" s="5">
        <v>22</v>
      </c>
      <c r="X24" s="7">
        <f t="shared" si="16"/>
        <v>1301.1455960105666</v>
      </c>
      <c r="Y24" s="4">
        <f t="shared" si="17"/>
        <v>35089.333264072338</v>
      </c>
      <c r="Z24" s="4">
        <f t="shared" si="18"/>
        <v>19360</v>
      </c>
      <c r="AA24" s="4">
        <f t="shared" si="19"/>
        <v>54449.333264072338</v>
      </c>
      <c r="AB24" s="4">
        <f t="shared" si="20"/>
        <v>54449.333264072338</v>
      </c>
      <c r="AC24" s="4">
        <f t="shared" si="21"/>
        <v>2172.9921396943828</v>
      </c>
      <c r="AD24" s="4">
        <f t="shared" si="22"/>
        <v>2474.9696938214697</v>
      </c>
      <c r="AE24" s="4">
        <f t="shared" si="23"/>
        <v>2700</v>
      </c>
      <c r="AF24" s="1" t="str">
        <f>IF(AND($AC24&lt;=$AE24,SUMPRODUCT(--($AC$3:$AC24&gt;$AE$3:$AE24))=0,OR($W24=MES_MAX_BEDS,$AC25&gt;$AE25)),"P ≈ MC","")</f>
        <v/>
      </c>
    </row>
    <row r="25" spans="1:32" x14ac:dyDescent="0.25">
      <c r="W25" s="5">
        <v>23</v>
      </c>
      <c r="X25" s="7">
        <f t="shared" si="16"/>
        <v>1377.292184868003</v>
      </c>
      <c r="Y25" s="4">
        <f t="shared" si="17"/>
        <v>36411.322653958385</v>
      </c>
      <c r="Z25" s="4">
        <f t="shared" si="18"/>
        <v>20240</v>
      </c>
      <c r="AA25" s="4">
        <f t="shared" si="19"/>
        <v>56651.322653958385</v>
      </c>
      <c r="AB25" s="4">
        <f t="shared" si="20"/>
        <v>56651.322653958385</v>
      </c>
      <c r="AC25" s="4">
        <f t="shared" si="21"/>
        <v>2201.9893898860464</v>
      </c>
      <c r="AD25" s="4">
        <f t="shared" si="22"/>
        <v>2463.1009849547122</v>
      </c>
      <c r="AE25" s="4">
        <f t="shared" si="23"/>
        <v>2700</v>
      </c>
      <c r="AF25" s="1" t="str">
        <f>IF(AND($AC25&lt;=$AE25,SUMPRODUCT(--($AC$3:$AC25&gt;$AE$3:$AE25))=0,OR($W25=MES_MAX_BEDS,$AC26&gt;$AE26)),"P ≈ MC","")</f>
        <v/>
      </c>
    </row>
    <row r="26" spans="1:32" x14ac:dyDescent="0.25">
      <c r="W26" s="5">
        <v>24</v>
      </c>
      <c r="X26" s="7">
        <f t="shared" si="16"/>
        <v>1455.1391344474989</v>
      </c>
      <c r="Y26" s="4">
        <f t="shared" si="17"/>
        <v>37762.832195269075</v>
      </c>
      <c r="Z26" s="4">
        <f t="shared" si="18"/>
        <v>21120</v>
      </c>
      <c r="AA26" s="4">
        <f t="shared" si="19"/>
        <v>58882.832195269075</v>
      </c>
      <c r="AB26" s="4">
        <f t="shared" si="20"/>
        <v>58882.832195269075</v>
      </c>
      <c r="AC26" s="4">
        <f t="shared" si="21"/>
        <v>2231.5095413106901</v>
      </c>
      <c r="AD26" s="4">
        <f t="shared" si="22"/>
        <v>2453.4513414695448</v>
      </c>
      <c r="AE26" s="4">
        <f t="shared" si="23"/>
        <v>2700</v>
      </c>
      <c r="AF26" s="1" t="str">
        <f>IF(AND($AC26&lt;=$AE26,SUMPRODUCT(--($AC$3:$AC26&gt;$AE$3:$AE26))=0,OR($W26=MES_MAX_BEDS,$AC27&gt;$AE27)),"P ≈ MC","")</f>
        <v/>
      </c>
    </row>
    <row r="27" spans="1:32" x14ac:dyDescent="0.25">
      <c r="W27" s="5">
        <v>25</v>
      </c>
      <c r="X27" s="7">
        <f t="shared" si="16"/>
        <v>1534.7170558625965</v>
      </c>
      <c r="Y27" s="4">
        <f t="shared" si="17"/>
        <v>39144.393330947853</v>
      </c>
      <c r="Z27" s="4">
        <f t="shared" si="18"/>
        <v>22000</v>
      </c>
      <c r="AA27" s="4">
        <f t="shared" si="19"/>
        <v>61144.393330947853</v>
      </c>
      <c r="AB27" s="4">
        <f t="shared" si="20"/>
        <v>61144.393330947853</v>
      </c>
      <c r="AC27" s="4">
        <f t="shared" si="21"/>
        <v>2261.5611356787776</v>
      </c>
      <c r="AD27" s="4">
        <f t="shared" si="22"/>
        <v>2445.7757332379142</v>
      </c>
      <c r="AE27" s="4">
        <f t="shared" si="23"/>
        <v>2700</v>
      </c>
      <c r="AF27" s="1" t="str">
        <f>IF(AND($AC27&lt;=$AE27,SUMPRODUCT(--($AC$3:$AC27&gt;$AE$3:$AE27))=0,OR($W27=MES_MAX_BEDS,$AC28&gt;$AE28)),"P ≈ MC","")</f>
        <v/>
      </c>
    </row>
    <row r="28" spans="1:32" x14ac:dyDescent="0.25">
      <c r="W28" s="5">
        <v>26</v>
      </c>
      <c r="X28" s="7">
        <f t="shared" si="16"/>
        <v>1616.0570598233144</v>
      </c>
      <c r="Y28" s="4">
        <f t="shared" si="17"/>
        <v>40556.546177488097</v>
      </c>
      <c r="Z28" s="4">
        <f t="shared" si="18"/>
        <v>22880</v>
      </c>
      <c r="AA28" s="4">
        <f t="shared" si="19"/>
        <v>63436.546177488097</v>
      </c>
      <c r="AB28" s="4">
        <f t="shared" si="20"/>
        <v>63436.546177488097</v>
      </c>
      <c r="AC28" s="4">
        <f t="shared" si="21"/>
        <v>2292.1528465402444</v>
      </c>
      <c r="AD28" s="4">
        <f t="shared" si="22"/>
        <v>2439.8671606726193</v>
      </c>
      <c r="AE28" s="4">
        <f t="shared" si="23"/>
        <v>2700</v>
      </c>
      <c r="AF28" s="1" t="str">
        <f>IF(AND($AC28&lt;=$AE28,SUMPRODUCT(--($AC$3:$AC28&gt;$AE$3:$AE28))=0,OR($W28=MES_MAX_BEDS,$AC29&gt;$AE29)),"P ≈ MC","")</f>
        <v/>
      </c>
    </row>
    <row r="29" spans="1:32" x14ac:dyDescent="0.25">
      <c r="W29" s="5">
        <v>27</v>
      </c>
      <c r="X29" s="7">
        <f t="shared" si="16"/>
        <v>1699.1907643430709</v>
      </c>
      <c r="Y29" s="4">
        <f t="shared" si="17"/>
        <v>41999.839658733865</v>
      </c>
      <c r="Z29" s="4">
        <f t="shared" si="18"/>
        <v>23760</v>
      </c>
      <c r="AA29" s="4">
        <f t="shared" si="19"/>
        <v>65759.839658733865</v>
      </c>
      <c r="AB29" s="4">
        <f t="shared" si="20"/>
        <v>65759.839658733865</v>
      </c>
      <c r="AC29" s="4">
        <f t="shared" si="21"/>
        <v>2323.2934812457679</v>
      </c>
      <c r="AD29" s="4">
        <f t="shared" si="22"/>
        <v>2435.549616990143</v>
      </c>
      <c r="AE29" s="4">
        <f t="shared" si="23"/>
        <v>2700</v>
      </c>
      <c r="AF29" s="1" t="str">
        <f>IF(AND($AC29&lt;=$AE29,SUMPRODUCT(--($AC$3:$AC29&gt;$AE$3:$AE29))=0,OR($W29=MES_MAX_BEDS,$AC30&gt;$AE30)),"P ≈ MC","")</f>
        <v/>
      </c>
    </row>
    <row r="30" spans="1:32" x14ac:dyDescent="0.25">
      <c r="W30" s="5">
        <v>28</v>
      </c>
      <c r="X30" s="7">
        <f t="shared" si="16"/>
        <v>1784.1503025602246</v>
      </c>
      <c r="Y30" s="4">
        <f t="shared" si="17"/>
        <v>43474.831641670564</v>
      </c>
      <c r="Z30" s="4">
        <f t="shared" si="18"/>
        <v>24640</v>
      </c>
      <c r="AA30" s="4">
        <f t="shared" si="19"/>
        <v>68114.831641670564</v>
      </c>
      <c r="AB30" s="4">
        <f t="shared" si="20"/>
        <v>68114.831641670564</v>
      </c>
      <c r="AC30" s="4">
        <f t="shared" si="21"/>
        <v>2354.9919829366991</v>
      </c>
      <c r="AD30" s="4">
        <f t="shared" si="22"/>
        <v>2432.6725586310918</v>
      </c>
      <c r="AE30" s="4">
        <f t="shared" si="23"/>
        <v>2700</v>
      </c>
      <c r="AF30" s="1" t="str">
        <f>IF(AND($AC30&lt;=$AE30,SUMPRODUCT(--($AC$3:$AC30&gt;$AE$3:$AE30))=0,OR($W30=MES_MAX_BEDS,$AC31&gt;$AE31)),"P ≈ MC","")</f>
        <v/>
      </c>
    </row>
    <row r="31" spans="1:32" x14ac:dyDescent="0.25">
      <c r="W31" s="5">
        <v>29</v>
      </c>
      <c r="X31" s="7">
        <f t="shared" si="16"/>
        <v>1870.9683306758782</v>
      </c>
      <c r="Y31" s="4">
        <f t="shared" si="17"/>
        <v>44982.089074233998</v>
      </c>
      <c r="Z31" s="4">
        <f t="shared" si="18"/>
        <v>25520</v>
      </c>
      <c r="AA31" s="4">
        <f t="shared" si="19"/>
        <v>70502.089074233998</v>
      </c>
      <c r="AB31" s="4">
        <f t="shared" si="20"/>
        <v>70502.089074233998</v>
      </c>
      <c r="AC31" s="4">
        <f t="shared" si="21"/>
        <v>2387.2574325634341</v>
      </c>
      <c r="AD31" s="4">
        <f t="shared" si="22"/>
        <v>2431.1065198011725</v>
      </c>
      <c r="AE31" s="4">
        <f t="shared" si="23"/>
        <v>2700</v>
      </c>
      <c r="AF31" s="1" t="str">
        <f>IF(AND($AC31&lt;=$AE31,SUMPRODUCT(--($AC$3:$AC31&gt;$AE$3:$AE31))=0,OR($W31=MES_MAX_BEDS,$AC32&gt;$AE32)),"P ≈ MC","")</f>
        <v/>
      </c>
    </row>
    <row r="32" spans="1:32" x14ac:dyDescent="0.25">
      <c r="W32" s="5">
        <v>30</v>
      </c>
      <c r="X32" s="7">
        <f t="shared" si="16"/>
        <v>1959.6780360096488</v>
      </c>
      <c r="Y32" s="4">
        <f t="shared" si="17"/>
        <v>46522.188125167515</v>
      </c>
      <c r="Z32" s="4">
        <f t="shared" si="18"/>
        <v>26400</v>
      </c>
      <c r="AA32" s="4">
        <f t="shared" si="19"/>
        <v>72922.188125167508</v>
      </c>
      <c r="AB32" s="4">
        <f t="shared" si="20"/>
        <v>72922.188125167508</v>
      </c>
      <c r="AC32" s="4">
        <f t="shared" si="21"/>
        <v>2420.0990509335097</v>
      </c>
      <c r="AD32" s="4">
        <f t="shared" si="22"/>
        <v>2430.7396041722504</v>
      </c>
      <c r="AE32" s="4">
        <f t="shared" si="23"/>
        <v>2700</v>
      </c>
      <c r="AF32" s="1" t="str">
        <f>IF(AND($AC32&lt;=$AE32,SUMPRODUCT(--($AC$3:$AC32&gt;$AE$3:$AE32))=0,OR($W32=MES_MAX_BEDS,$AC33&gt;$AE33)),"P ≈ MC","")</f>
        <v/>
      </c>
    </row>
  </sheetData>
  <pageMargins left="0.7" right="0.7" top="0.75" bottom="0.75" header="0.3" footer="0.3"/>
  <headerFooter>
    <oddFooter>&amp;R_x000D_&amp;1#&amp;"Aptos"&amp;22&amp;KFF8939 RESTRICTED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62</vt:i4>
      </vt:variant>
    </vt:vector>
  </HeadingPairs>
  <TitlesOfParts>
    <vt:vector size="64" baseType="lpstr">
      <vt:lpstr>Model</vt:lpstr>
      <vt:lpstr>MC Schedules</vt:lpstr>
      <vt:lpstr>BEDS_CHECK</vt:lpstr>
      <vt:lpstr>BLENDED_RATE</vt:lpstr>
      <vt:lpstr>CAR_BEDS</vt:lpstr>
      <vt:lpstr>CAR_CAP_CHECK</vt:lpstr>
      <vt:lpstr>CAR_DIM_PCT</vt:lpstr>
      <vt:lpstr>CAR_FERT_COST</vt:lpstr>
      <vt:lpstr>CAR_FERTILIZER</vt:lpstr>
      <vt:lpstr>CAR_HRS</vt:lpstr>
      <vt:lpstr>CAR_LABOR_COST</vt:lpstr>
      <vt:lpstr>CAR_LABOR_HOURS</vt:lpstr>
      <vt:lpstr>CAR_MAX_BEDS</vt:lpstr>
      <vt:lpstr>CAR_MC_SCHEDULE</vt:lpstr>
      <vt:lpstr>CAR_PRICE</vt:lpstr>
      <vt:lpstr>CAR_REVENUE</vt:lpstr>
      <vt:lpstr>FARMER_HOURS</vt:lpstr>
      <vt:lpstr>FARMER_LABOR_RATE</vt:lpstr>
      <vt:lpstr>FARMER_SALARY</vt:lpstr>
      <vt:lpstr>FIXED_COSTS</vt:lpstr>
      <vt:lpstr>LABOR_COST</vt:lpstr>
      <vt:lpstr>MES_BEDS</vt:lpstr>
      <vt:lpstr>MES_CAP_CHECK</vt:lpstr>
      <vt:lpstr>MES_DIM_PCT</vt:lpstr>
      <vt:lpstr>MES_FERT_COST</vt:lpstr>
      <vt:lpstr>MES_FERTILIZER</vt:lpstr>
      <vt:lpstr>MES_HRS</vt:lpstr>
      <vt:lpstr>MES_LABOR_COST</vt:lpstr>
      <vt:lpstr>MES_LABOR_HOURS</vt:lpstr>
      <vt:lpstr>MES_MAX_BEDS</vt:lpstr>
      <vt:lpstr>MES_MC_SCHEDULE</vt:lpstr>
      <vt:lpstr>MES_PRICE</vt:lpstr>
      <vt:lpstr>MES_REVENUE</vt:lpstr>
      <vt:lpstr>OPT_CAR_BEDS</vt:lpstr>
      <vt:lpstr>OPT_MES_BEDS</vt:lpstr>
      <vt:lpstr>OPT_TOM_BEDS</vt:lpstr>
      <vt:lpstr>PERM_HRS_USED</vt:lpstr>
      <vt:lpstr>PROFIT</vt:lpstr>
      <vt:lpstr>TEMP_CHECK</vt:lpstr>
      <vt:lpstr>TEMP_HRS</vt:lpstr>
      <vt:lpstr>TEMP_LABOR_RATE</vt:lpstr>
      <vt:lpstr>TEMP_WORKER_CAP</vt:lpstr>
      <vt:lpstr>TEMP_WORKER_HOURS</vt:lpstr>
      <vt:lpstr>TEMP_WORKER_SALARY</vt:lpstr>
      <vt:lpstr>TEMP_WORKERS_NEEDED</vt:lpstr>
      <vt:lpstr>TOM_BEDS</vt:lpstr>
      <vt:lpstr>TOM_CAP_CHECK</vt:lpstr>
      <vt:lpstr>TOM_DIM_PCT</vt:lpstr>
      <vt:lpstr>TOM_FERT_COST</vt:lpstr>
      <vt:lpstr>TOM_FERTILIZER</vt:lpstr>
      <vt:lpstr>TOM_HRS</vt:lpstr>
      <vt:lpstr>TOM_LABOR_COST</vt:lpstr>
      <vt:lpstr>TOM_LABOR_HOURS</vt:lpstr>
      <vt:lpstr>TOM_MAX_BEDS</vt:lpstr>
      <vt:lpstr>TOM_MC_SCHEDULE</vt:lpstr>
      <vt:lpstr>TOM_PRICE</vt:lpstr>
      <vt:lpstr>TOM_REVENUE</vt:lpstr>
      <vt:lpstr>TOTAL_BED_CAP</vt:lpstr>
      <vt:lpstr>TOTAL_BEDS</vt:lpstr>
      <vt:lpstr>TOTAL_COST</vt:lpstr>
      <vt:lpstr>TOTAL_FERTILIZER_COST</vt:lpstr>
      <vt:lpstr>TOTAL_LABOR_HOURS</vt:lpstr>
      <vt:lpstr>TOTAL_REVENUE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Marginal-Analysis Model</dc:title>
  <dc:creator>Melveen-Janeen Camba</dc:creator>
  <cp:lastModifiedBy>Melveen Camba</cp:lastModifiedBy>
  <dcterms:created xsi:type="dcterms:W3CDTF">2026-09-11T00:00:00Z</dcterms:created>
  <dcterms:modified xsi:type="dcterms:W3CDTF">2026-09-11T20:32:00Z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c76c141-ac86-40e5-abf2-c6f60e474cee_Enabled">
    <vt:lpwstr>true</vt:lpwstr>
  </property>
  <property fmtid="{D5CDD505-2E9C-101B-9397-08002B2CF9AE}" pid="3" name="MSIP_Label_2c76c141-ac86-40e5-abf2-c6f60e474cee_SetDate">
    <vt:lpwstr>2026-09-11T20:32:00Z</vt:lpwstr>
  </property>
  <property fmtid="{D5CDD505-2E9C-101B-9397-08002B2CF9AE}" pid="4" name="MSIP_Label_2c76c141-ac86-40e5-abf2-c6f60e474cee_Method">
    <vt:lpwstr>Standard</vt:lpwstr>
  </property>
  <property fmtid="{D5CDD505-2E9C-101B-9397-08002B2CF9AE}" pid="5" name="MSIP_Label_2c76c141-ac86-40e5-abf2-c6f60e474cee_Name">
    <vt:lpwstr>2c76c141-ac86-40e5-abf2-c6f60e474cee</vt:lpwstr>
  </property>
  <property fmtid="{D5CDD505-2E9C-101B-9397-08002B2CF9AE}" pid="6" name="MSIP_Label_2c76c141-ac86-40e5-abf2-c6f60e474cee_SiteId">
    <vt:lpwstr>fcb2b37b-5da0-466b-9b83-0014b67a7c78</vt:lpwstr>
  </property>
  <property fmtid="{D5CDD505-2E9C-101B-9397-08002B2CF9AE}" pid="7" name="MSIP_Label_2c76c141-ac86-40e5-abf2-c6f60e474cee_ActionId">
    <vt:lpwstr>2563c251-c926-4ee8-b1da-6c10556d9f25</vt:lpwstr>
  </property>
  <property fmtid="{D5CDD505-2E9C-101B-9397-08002B2CF9AE}" pid="8" name="MSIP_Label_2c76c141-ac86-40e5-abf2-c6f60e474cee_ContentBits">
    <vt:lpwstr>2</vt:lpwstr>
  </property>
  <property fmtid="{D5CDD505-2E9C-101B-9397-08002B2CF9AE}" pid="9" name="MSIP_Label_2c76c141-ac86-40e5-abf2-c6f60e474cee_Tag">
    <vt:lpwstr>10, 3, 0, 1</vt:lpwstr>
  </property>
</Properties>
</file>