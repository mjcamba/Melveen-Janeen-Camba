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46333908-7F7B-4AF1-9149-5B83E615C4B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odel" sheetId="1" r:id="rId1"/>
    <sheet name="MC Schedules" sheetId="2" r:id="rId2"/>
  </sheets>
  <definedNames>
    <definedName name="BLENDED_RATE">Model!$B$37</definedName>
    <definedName name="CAR_BEDS">Model!$B$27</definedName>
    <definedName name="CAR_DIM_PCT">Model!$B$19</definedName>
    <definedName name="CAR_FERTILIZER">Model!$B$18</definedName>
    <definedName name="CAR_HRS">Model!$B$17</definedName>
    <definedName name="CAR_LABOR_HOURS">Model!$B$30</definedName>
    <definedName name="CAR_MAX_BEDS">Model!$B$20</definedName>
    <definedName name="CAR_PRICE">Model!$B$16</definedName>
    <definedName name="FARMER_HOURS">Model!$B$4</definedName>
    <definedName name="FARMER_LABOR_RATE">Model!$B$6</definedName>
    <definedName name="FARMER_SALARY">Model!$B$5</definedName>
    <definedName name="FIXED_COSTS">Model!$B$2</definedName>
    <definedName name="LABOR_COST">Model!$B$36</definedName>
    <definedName name="MES_BEDS">Model!$B$28</definedName>
    <definedName name="MES_DIM_PCT">Model!$B$24</definedName>
    <definedName name="MES_FERTILIZER">Model!$B$23</definedName>
    <definedName name="MES_HRS">Model!$B$22</definedName>
    <definedName name="MES_LABOR_HOURS">Model!$B$31</definedName>
    <definedName name="MES_MAX_BEDS">Model!$B$25</definedName>
    <definedName name="MES_PRICE">Model!$B$21</definedName>
    <definedName name="PERM_HRS_USED">Model!$B$33</definedName>
    <definedName name="PROFIT">Model!$B$39</definedName>
    <definedName name="TEMP_HRS">Model!$B$34</definedName>
    <definedName name="TEMP_LABOR_RATE">Model!$B$8</definedName>
    <definedName name="TEMP_WORKER_CAP">Model!$B$10</definedName>
    <definedName name="TEMP_WORKER_HOURS">Model!$B$9</definedName>
    <definedName name="TEMP_WORKER_SALARY">Model!$B$7</definedName>
    <definedName name="TEMP_WORKERS_NEEDED">Model!$B$35</definedName>
    <definedName name="TOM_BEDS">Model!$B$26</definedName>
    <definedName name="TOM_DIM_PCT">Model!$B$14</definedName>
    <definedName name="TOM_FERTILIZER">Model!$B$13</definedName>
    <definedName name="TOM_HRS">Model!$B$12</definedName>
    <definedName name="TOM_LABOR_HOURS">Model!$B$29</definedName>
    <definedName name="TOM_MAX_BEDS">Model!$B$15</definedName>
    <definedName name="TOM_PRICE">Model!$B$11</definedName>
    <definedName name="TOTAL_BED_CAP">Model!$B$3</definedName>
    <definedName name="TOTAL_BEDS">Model!$B$38</definedName>
    <definedName name="TOTAL_LABOR_HOURS">Model!$B$32</definedName>
    <definedName name="WEEKS">Model!$B$1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B31" i="1"/>
  <c r="B29" i="1"/>
  <c r="B17" i="1"/>
  <c r="B30" i="1" s="1"/>
  <c r="B8" i="1"/>
  <c r="B6" i="1"/>
  <c r="B32" i="1" l="1"/>
  <c r="B34" i="1" l="1"/>
  <c r="B35" i="1" s="1"/>
  <c r="B33" i="1"/>
  <c r="B36" i="1" s="1"/>
  <c r="B37" i="1" s="1"/>
</calcChain>
</file>

<file path=xl/sharedStrings.xml><?xml version="1.0" encoding="utf-8"?>
<sst xmlns="http://schemas.openxmlformats.org/spreadsheetml/2006/main" count="48" uniqueCount="42">
  <si>
    <t>WEEKS</t>
  </si>
  <si>
    <t>FIXED_COSTS</t>
  </si>
  <si>
    <t>TOTAL_BED_CAP</t>
  </si>
  <si>
    <t>FARMER_HOURS</t>
  </si>
  <si>
    <t>FARMER_SALARY</t>
  </si>
  <si>
    <t>FARMER_LABOR_RATE</t>
  </si>
  <si>
    <t>TEMP_WORKER_SALARY</t>
  </si>
  <si>
    <t>TEMP_LABOR_RATE</t>
  </si>
  <si>
    <t>TEMP_WORKER_HOURS</t>
  </si>
  <si>
    <t>TEMP_WORKER_CAP</t>
  </si>
  <si>
    <t>TOM_PRICE</t>
  </si>
  <si>
    <t>TOM_HRS</t>
  </si>
  <si>
    <t>TOM_FERTILIZER</t>
  </si>
  <si>
    <t>TOM_DIM_PCT</t>
  </si>
  <si>
    <t>TOM_MAX_BEDS</t>
  </si>
  <si>
    <t>CAR_PRICE</t>
  </si>
  <si>
    <t>CAR_HRS</t>
  </si>
  <si>
    <t>CAR_FERTILIZER</t>
  </si>
  <si>
    <t>CAR_DIM_PCT</t>
  </si>
  <si>
    <t>CAR_MAX_BEDS</t>
  </si>
  <si>
    <t>MES_PRICE</t>
  </si>
  <si>
    <t>MES_HRS</t>
  </si>
  <si>
    <t>MES_FERTILIZER</t>
  </si>
  <si>
    <t>MES_DIM_PCT</t>
  </si>
  <si>
    <t>MES_MAX_BEDS</t>
  </si>
  <si>
    <t>TOM_BEDS</t>
  </si>
  <si>
    <t>CAR_BEDS</t>
  </si>
  <si>
    <t>MES_BEDS</t>
  </si>
  <si>
    <t>TOM_LABOR_HOURS</t>
  </si>
  <si>
    <t>CAR_LABOR_HOURS</t>
  </si>
  <si>
    <t>MES_LABOR_HOURS</t>
  </si>
  <si>
    <t>TOTAL_LABOR_HOURS</t>
  </si>
  <si>
    <t>PERM_HRS_USED</t>
  </si>
  <si>
    <t>TEMP_HRS</t>
  </si>
  <si>
    <t>TEMP_WORKERS_NEEDED</t>
  </si>
  <si>
    <t>LABOR_COST</t>
  </si>
  <si>
    <t>BLENDED_RATE</t>
  </si>
  <si>
    <t>TOTAL_BEDS</t>
  </si>
  <si>
    <t>PROFIT</t>
  </si>
  <si>
    <t>q</t>
  </si>
  <si>
    <t>MC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</si>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</sst>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'MC Schedules'!B1</c:f>
              <c:strCache>
                <c:ptCount val="1"/>
                <c:pt idx="0">
                  <c:v>MC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'MC Schedules'!$B$2:$B$22</c:f>
              <c:numCache>
                <c:formatCode>General</c:formatCode>
                <c:ptCount val="2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8D-4595-AE6E-9DAA395A8AC8}"/>
            </c:ext>
          </c:extLst>
        </c:ser>
        <c:ser>
          <c:idx val="1"/>
          <c:order val="1"/>
          <c:tx>
            <c:strRef>
              <c:f>'MC Schedules'!C1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'MC Schedules'!$C$2:$C$22</c:f>
              <c:numCache>
                <c:formatCode>General</c:formatCode>
                <c:ptCount val="21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  <c:pt idx="20">
                  <c:v>8800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8D-4595-AE6E-9DAA395A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'MC Schedules'!M1</c:f>
              <c:strCache>
                <c:ptCount val="1"/>
                <c:pt idx="0">
                  <c:v>MC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'MC Schedules'!$M$2:$M$22</c:f>
              <c:numCache>
                <c:formatCode>General</c:formatCode>
                <c:ptCount val="2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CB-46F3-8F89-AA7A1E442D64}"/>
            </c:ext>
          </c:extLst>
        </c:ser>
        <c:ser>
          <c:idx val="1"/>
          <c:order val="1"/>
          <c:tx>
            <c:strRef>
              <c:f>'MC Schedules'!N1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'MC Schedules'!$N$2:$N$22</c:f>
              <c:numCache>
                <c:formatCode>General</c:formatCode>
                <c:ptCount val="21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  <c:pt idx="20">
                  <c:v>2094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CB-46F3-8F89-AA7A1E44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'MC Schedules'!X1</c:f>
              <c:strCache>
                <c:ptCount val="1"/>
                <c:pt idx="0">
                  <c:v>MC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'MC Schedules'!$X$2:$X$32</c:f>
              <c:numCache>
                <c:formatCode>General</c:formatCode>
                <c:ptCount val="3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F0-438A-8162-E5CC3C6A028B}"/>
            </c:ext>
          </c:extLst>
        </c:ser>
        <c:ser>
          <c:idx val="1"/>
          <c:order val="1"/>
          <c:tx>
            <c:strRef>
              <c:f>'MC Schedules'!Y1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'MC Schedules'!$Y$2:$Y$32</c:f>
              <c:numCache>
                <c:formatCode>General</c:formatCode>
                <c:ptCount val="31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  <c:pt idx="30">
                  <c:v>2700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F0-438A-8162-E5CC3C6A0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24</xdr:row>
      <xdr:rowOff>19050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419100</xdr:colOff>
      <xdr:row>23</xdr:row>
      <xdr:rowOff>180975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0</xdr:colOff>
      <xdr:row>39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25" workbookViewId="0"/>
  </sheetViews>
  <sheetFormatPr defaultRowHeight="15"/>
  <cols>
    <col min="1" max="1" width="25.5703125" customWidth="1"/>
    <col min="2" max="2" width="15.42578125" customWidth="1"/>
  </cols>
  <sheetData>
    <row r="1" spans="1:2">
      <c r="A1" t="s">
        <v>0</v>
      </c>
      <c r="B1">
        <v>36</v>
      </c>
    </row>
    <row r="2" spans="1:2">
      <c r="A2" t="s">
        <v>1</v>
      </c>
      <c r="B2">
        <v>20000</v>
      </c>
    </row>
    <row r="3" spans="1:2">
      <c r="A3" t="s">
        <v>2</v>
      </c>
      <c r="B3">
        <v>64</v>
      </c>
    </row>
    <row r="4" spans="1:2">
      <c r="A4" t="s">
        <v>3</v>
      </c>
      <c r="B4">
        <v>720</v>
      </c>
    </row>
    <row r="5" spans="1:2">
      <c r="A5" t="s">
        <v>4</v>
      </c>
      <c r="B5">
        <v>50000</v>
      </c>
    </row>
    <row r="6" spans="1:2">
      <c r="A6" t="s">
        <v>5</v>
      </c>
      <c r="B6">
        <f>B5/1440</f>
        <v>34.722222222222221</v>
      </c>
    </row>
    <row r="7" spans="1:2">
      <c r="A7" t="s">
        <v>6</v>
      </c>
      <c r="B7">
        <v>25000</v>
      </c>
    </row>
    <row r="8" spans="1:2">
      <c r="A8" t="s">
        <v>7</v>
      </c>
      <c r="B8">
        <f>B7/1440</f>
        <v>17.361111111111111</v>
      </c>
    </row>
    <row r="9" spans="1:2">
      <c r="A9" t="s">
        <v>8</v>
      </c>
      <c r="B9">
        <v>1440</v>
      </c>
    </row>
    <row r="10" spans="1:2">
      <c r="A10" t="s">
        <v>9</v>
      </c>
      <c r="B10">
        <v>4</v>
      </c>
    </row>
    <row r="11" spans="1:2">
      <c r="A11" t="s">
        <v>10</v>
      </c>
      <c r="B11">
        <v>8800</v>
      </c>
    </row>
    <row r="12" spans="1:2">
      <c r="A12" t="s">
        <v>11</v>
      </c>
      <c r="B12">
        <v>2.5</v>
      </c>
    </row>
    <row r="13" spans="1:2">
      <c r="A13" t="s">
        <v>12</v>
      </c>
      <c r="B13">
        <v>880</v>
      </c>
    </row>
    <row r="14" spans="1:2">
      <c r="A14" t="s">
        <v>13</v>
      </c>
      <c r="B14">
        <v>0.1</v>
      </c>
    </row>
    <row r="15" spans="1:2">
      <c r="A15" t="s">
        <v>14</v>
      </c>
      <c r="B15">
        <v>20</v>
      </c>
    </row>
    <row r="16" spans="1:2">
      <c r="A16" t="s">
        <v>15</v>
      </c>
      <c r="B16">
        <v>2094</v>
      </c>
    </row>
    <row r="17" spans="1:2">
      <c r="A17" t="s">
        <v>16</v>
      </c>
      <c r="B17">
        <f>B12/3</f>
        <v>0.83333333333333337</v>
      </c>
    </row>
    <row r="18" spans="1:2">
      <c r="A18" t="s">
        <v>17</v>
      </c>
      <c r="B18">
        <v>440</v>
      </c>
    </row>
    <row r="19" spans="1:2">
      <c r="A19" t="s">
        <v>18</v>
      </c>
      <c r="B19">
        <v>2.5000000000000001E-2</v>
      </c>
    </row>
    <row r="20" spans="1:2">
      <c r="A20" t="s">
        <v>19</v>
      </c>
      <c r="B20">
        <v>20</v>
      </c>
    </row>
    <row r="21" spans="1:2">
      <c r="A21" t="s">
        <v>20</v>
      </c>
      <c r="B21">
        <v>2700</v>
      </c>
    </row>
    <row r="22" spans="1:2">
      <c r="A22" t="s">
        <v>21</v>
      </c>
      <c r="B22">
        <v>1.25</v>
      </c>
    </row>
    <row r="23" spans="1:2">
      <c r="A23" t="s">
        <v>22</v>
      </c>
      <c r="B23">
        <v>880</v>
      </c>
    </row>
    <row r="24" spans="1:2">
      <c r="A24" t="s">
        <v>23</v>
      </c>
      <c r="B24">
        <v>1.2500000000000001E-2</v>
      </c>
    </row>
    <row r="25" spans="1:2">
      <c r="A25" t="s">
        <v>24</v>
      </c>
      <c r="B25">
        <v>30</v>
      </c>
    </row>
    <row r="26" spans="1:2">
      <c r="A26" t="s">
        <v>25</v>
      </c>
      <c r="B26">
        <v>10</v>
      </c>
    </row>
    <row r="27" spans="1:2">
      <c r="A27" t="s">
        <v>26</v>
      </c>
      <c r="B27">
        <v>20</v>
      </c>
    </row>
    <row r="28" spans="1:2">
      <c r="A28" t="s">
        <v>27</v>
      </c>
      <c r="B28">
        <v>30</v>
      </c>
    </row>
    <row r="29" spans="1:2">
      <c r="A29" t="s">
        <v>28</v>
      </c>
      <c r="B29">
        <f>TOM_BEDS*TOM_HRS*WEEKS*(1+TOM_DIM_PCT)^TOM_BEDS</f>
        <v>2334.3682140900019</v>
      </c>
    </row>
    <row r="30" spans="1:2">
      <c r="A30" t="s">
        <v>29</v>
      </c>
      <c r="B30">
        <f>CAR_BEDS*CAR_HRS*WEEKS*(1+CAR_DIM_PCT)^CAR_BEDS</f>
        <v>983.16986417423732</v>
      </c>
    </row>
    <row r="31" spans="1:2">
      <c r="A31" t="s">
        <v>30</v>
      </c>
      <c r="B31">
        <f>MES_BEDS*MES_HRS*WEEKS*(1+MES_DIM_PCT)^MES_BEDS</f>
        <v>1959.6780360096488</v>
      </c>
    </row>
    <row r="32" spans="1:2">
      <c r="A32" t="s">
        <v>31</v>
      </c>
      <c r="B32">
        <f>TOM_LABOR_HOURS+CAR_LABOR_HOURS+MES_LABOR_HOURS</f>
        <v>5277.2161142738878</v>
      </c>
    </row>
    <row r="33" spans="1:2">
      <c r="A33" t="s">
        <v>32</v>
      </c>
      <c r="B33">
        <f>MIN(TOTAL_LABOR_HOURS,FARMER_HOURS)</f>
        <v>720</v>
      </c>
    </row>
    <row r="34" spans="1:2">
      <c r="A34" t="s">
        <v>33</v>
      </c>
      <c r="B34">
        <f>MAX(TOTAL_LABOR_HOURS-FARMER_HOURS,0)</f>
        <v>4557.2161142738878</v>
      </c>
    </row>
    <row r="35" spans="1:2">
      <c r="A35" t="s">
        <v>34</v>
      </c>
      <c r="B35">
        <f>TEMP_HRS/TEMP_WORKER_HOURS</f>
        <v>3.1647334126901998</v>
      </c>
    </row>
    <row r="36" spans="1:2">
      <c r="A36" t="s">
        <v>35</v>
      </c>
      <c r="B36">
        <f>PERM_HRS_USED*FARMER_LABOR_RATE+TEMP_HRS*TEMP_LABOR_RATE</f>
        <v>104118.335317255</v>
      </c>
    </row>
    <row r="37" spans="1:2">
      <c r="A37" t="s">
        <v>36</v>
      </c>
      <c r="B37">
        <f>IF(TOTAL_LABOR_HOURS=0,0,LABOR_COST/TOTAL_LABOR_HOURS)</f>
        <v>19.729784239010844</v>
      </c>
    </row>
    <row r="38" spans="1:2">
      <c r="A38" t="s">
        <v>37</v>
      </c>
      <c r="B38">
        <f>TOM_BEDS+CAR_BEDS+MES_BEDS</f>
        <v>60</v>
      </c>
    </row>
    <row r="39" spans="1:2">
      <c r="A39" t="s">
        <v>38</v>
      </c>
      <c r="B39">
        <f>0</f>
        <v>0</v>
      </c>
    </row>
  </sheetData>
  <pageMargins left="0.75" right="0.75" top="1" bottom="1" header="0.5" footer="0.5"/>
  <headerFooter>
    <oddFooter>&amp;R_x000D_&amp;1#&amp;"Aptos"&amp;22&amp;KFF8939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"/>
  <sheetViews>
    <sheetView tabSelected="1" topLeftCell="A21" workbookViewId="0">
      <selection activeCell="E1" sqref="E1:K1048576"/>
    </sheetView>
  </sheetViews>
  <sheetFormatPr defaultColWidth="9.140625" defaultRowHeight="15"/>
  <cols>
    <col min="5" max="11" width="9.140625" bestFit="1" customWidth="1"/>
  </cols>
  <sheetData>
    <row r="1" spans="1:25">
      <c r="A1" t="s">
        <v>39</v>
      </c>
      <c r="B1" t="s">
        <v>40</v>
      </c>
      <c r="C1" t="s">
        <v>41</v>
      </c>
      <c r="L1" t="s">
        <v>39</v>
      </c>
      <c r="M1" t="s">
        <v>40</v>
      </c>
      <c r="N1" t="s">
        <v>41</v>
      </c>
      <c r="W1" t="s">
        <v>39</v>
      </c>
      <c r="X1" t="s">
        <v>40</v>
      </c>
      <c r="Y1" t="s">
        <v>41</v>
      </c>
    </row>
    <row r="2" spans="1:25">
      <c r="A2">
        <v>0</v>
      </c>
      <c r="C2">
        <v>8800</v>
      </c>
      <c r="L2">
        <v>0</v>
      </c>
      <c r="N2">
        <v>2094</v>
      </c>
      <c r="W2">
        <v>0</v>
      </c>
      <c r="Y2">
        <v>2700</v>
      </c>
    </row>
    <row r="3" spans="1:25">
      <c r="A3">
        <v>1</v>
      </c>
      <c r="C3">
        <v>8800</v>
      </c>
      <c r="L3">
        <v>1</v>
      </c>
      <c r="N3">
        <v>2094</v>
      </c>
      <c r="W3">
        <v>1</v>
      </c>
      <c r="Y3">
        <v>2700</v>
      </c>
    </row>
    <row r="4" spans="1:25">
      <c r="A4">
        <v>2</v>
      </c>
      <c r="C4">
        <v>8800</v>
      </c>
      <c r="L4">
        <v>2</v>
      </c>
      <c r="N4">
        <v>2094</v>
      </c>
      <c r="W4">
        <v>2</v>
      </c>
      <c r="Y4">
        <v>2700</v>
      </c>
    </row>
    <row r="5" spans="1:25">
      <c r="A5">
        <v>3</v>
      </c>
      <c r="C5">
        <v>8800</v>
      </c>
      <c r="L5">
        <v>3</v>
      </c>
      <c r="N5">
        <v>2094</v>
      </c>
      <c r="W5">
        <v>3</v>
      </c>
      <c r="Y5">
        <v>2700</v>
      </c>
    </row>
    <row r="6" spans="1:25">
      <c r="A6">
        <v>4</v>
      </c>
      <c r="C6">
        <v>8800</v>
      </c>
      <c r="L6">
        <v>4</v>
      </c>
      <c r="N6">
        <v>2094</v>
      </c>
      <c r="W6">
        <v>4</v>
      </c>
      <c r="Y6">
        <v>2700</v>
      </c>
    </row>
    <row r="7" spans="1:25">
      <c r="A7">
        <v>5</v>
      </c>
      <c r="C7">
        <v>8800</v>
      </c>
      <c r="L7">
        <v>5</v>
      </c>
      <c r="N7">
        <v>2094</v>
      </c>
      <c r="W7">
        <v>5</v>
      </c>
      <c r="Y7">
        <v>2700</v>
      </c>
    </row>
    <row r="8" spans="1:25">
      <c r="A8">
        <v>6</v>
      </c>
      <c r="C8">
        <v>8800</v>
      </c>
      <c r="L8">
        <v>6</v>
      </c>
      <c r="N8">
        <v>2094</v>
      </c>
      <c r="W8">
        <v>6</v>
      </c>
      <c r="Y8">
        <v>2700</v>
      </c>
    </row>
    <row r="9" spans="1:25">
      <c r="A9">
        <v>7</v>
      </c>
      <c r="C9">
        <v>8800</v>
      </c>
      <c r="L9">
        <v>7</v>
      </c>
      <c r="N9">
        <v>2094</v>
      </c>
      <c r="W9">
        <v>7</v>
      </c>
      <c r="Y9">
        <v>2700</v>
      </c>
    </row>
    <row r="10" spans="1:25">
      <c r="A10">
        <v>8</v>
      </c>
      <c r="C10">
        <v>8800</v>
      </c>
      <c r="L10">
        <v>8</v>
      </c>
      <c r="N10">
        <v>2094</v>
      </c>
      <c r="W10">
        <v>8</v>
      </c>
      <c r="Y10">
        <v>2700</v>
      </c>
    </row>
    <row r="11" spans="1:25">
      <c r="A11">
        <v>9</v>
      </c>
      <c r="C11">
        <v>8800</v>
      </c>
      <c r="L11">
        <v>9</v>
      </c>
      <c r="N11">
        <v>2094</v>
      </c>
      <c r="W11">
        <v>9</v>
      </c>
      <c r="Y11">
        <v>2700</v>
      </c>
    </row>
    <row r="12" spans="1:25">
      <c r="A12">
        <v>10</v>
      </c>
      <c r="C12">
        <v>8800</v>
      </c>
      <c r="L12">
        <v>10</v>
      </c>
      <c r="N12">
        <v>2094</v>
      </c>
      <c r="W12">
        <v>10</v>
      </c>
      <c r="Y12">
        <v>2700</v>
      </c>
    </row>
    <row r="13" spans="1:25">
      <c r="A13">
        <v>11</v>
      </c>
      <c r="C13">
        <v>8800</v>
      </c>
      <c r="L13">
        <v>11</v>
      </c>
      <c r="N13">
        <v>2094</v>
      </c>
      <c r="W13">
        <v>11</v>
      </c>
      <c r="Y13">
        <v>2700</v>
      </c>
    </row>
    <row r="14" spans="1:25">
      <c r="A14">
        <v>12</v>
      </c>
      <c r="C14">
        <v>8800</v>
      </c>
      <c r="L14">
        <v>12</v>
      </c>
      <c r="N14">
        <v>2094</v>
      </c>
      <c r="W14">
        <v>12</v>
      </c>
      <c r="Y14">
        <v>2700</v>
      </c>
    </row>
    <row r="15" spans="1:25">
      <c r="A15">
        <v>13</v>
      </c>
      <c r="C15">
        <v>8800</v>
      </c>
      <c r="L15">
        <v>13</v>
      </c>
      <c r="N15">
        <v>2094</v>
      </c>
      <c r="W15">
        <v>13</v>
      </c>
      <c r="Y15">
        <v>2700</v>
      </c>
    </row>
    <row r="16" spans="1:25">
      <c r="A16">
        <v>14</v>
      </c>
      <c r="C16">
        <v>8800</v>
      </c>
      <c r="L16">
        <v>14</v>
      </c>
      <c r="N16">
        <v>2094</v>
      </c>
      <c r="W16">
        <v>14</v>
      </c>
      <c r="Y16">
        <v>2700</v>
      </c>
    </row>
    <row r="17" spans="1:25">
      <c r="A17">
        <v>15</v>
      </c>
      <c r="C17">
        <v>8800</v>
      </c>
      <c r="L17">
        <v>15</v>
      </c>
      <c r="N17">
        <v>2094</v>
      </c>
      <c r="W17">
        <v>15</v>
      </c>
      <c r="Y17">
        <v>2700</v>
      </c>
    </row>
    <row r="18" spans="1:25">
      <c r="A18">
        <v>16</v>
      </c>
      <c r="C18">
        <v>8800</v>
      </c>
      <c r="L18">
        <v>16</v>
      </c>
      <c r="N18">
        <v>2094</v>
      </c>
      <c r="W18">
        <v>16</v>
      </c>
      <c r="Y18">
        <v>2700</v>
      </c>
    </row>
    <row r="19" spans="1:25">
      <c r="A19">
        <v>17</v>
      </c>
      <c r="C19">
        <v>8800</v>
      </c>
      <c r="L19">
        <v>17</v>
      </c>
      <c r="N19">
        <v>2094</v>
      </c>
      <c r="W19">
        <v>17</v>
      </c>
      <c r="Y19">
        <v>2700</v>
      </c>
    </row>
    <row r="20" spans="1:25">
      <c r="A20">
        <v>18</v>
      </c>
      <c r="C20">
        <v>8800</v>
      </c>
      <c r="L20">
        <v>18</v>
      </c>
      <c r="N20">
        <v>2094</v>
      </c>
      <c r="W20">
        <v>18</v>
      </c>
      <c r="Y20">
        <v>2700</v>
      </c>
    </row>
    <row r="21" spans="1:25">
      <c r="A21">
        <v>19</v>
      </c>
      <c r="C21">
        <v>8800</v>
      </c>
      <c r="L21">
        <v>19</v>
      </c>
      <c r="N21">
        <v>2094</v>
      </c>
      <c r="W21">
        <v>19</v>
      </c>
      <c r="Y21">
        <v>2700</v>
      </c>
    </row>
    <row r="22" spans="1:25">
      <c r="A22">
        <v>20</v>
      </c>
      <c r="C22">
        <v>8800</v>
      </c>
      <c r="L22">
        <v>20</v>
      </c>
      <c r="N22">
        <v>2094</v>
      </c>
      <c r="W22">
        <v>20</v>
      </c>
      <c r="Y22">
        <v>2700</v>
      </c>
    </row>
    <row r="23" spans="1:25">
      <c r="W23">
        <v>21</v>
      </c>
      <c r="Y23">
        <v>2700</v>
      </c>
    </row>
    <row r="24" spans="1:25">
      <c r="W24">
        <v>22</v>
      </c>
      <c r="Y24">
        <v>2700</v>
      </c>
    </row>
    <row r="25" spans="1:25">
      <c r="W25">
        <v>23</v>
      </c>
      <c r="Y25">
        <v>2700</v>
      </c>
    </row>
    <row r="26" spans="1:25">
      <c r="W26">
        <v>24</v>
      </c>
      <c r="Y26">
        <v>2700</v>
      </c>
    </row>
    <row r="27" spans="1:25">
      <c r="W27">
        <v>25</v>
      </c>
      <c r="Y27">
        <v>2700</v>
      </c>
    </row>
    <row r="28" spans="1:25">
      <c r="W28">
        <v>26</v>
      </c>
      <c r="Y28">
        <v>2700</v>
      </c>
    </row>
    <row r="29" spans="1:25">
      <c r="W29">
        <v>27</v>
      </c>
      <c r="Y29">
        <v>2700</v>
      </c>
    </row>
    <row r="30" spans="1:25">
      <c r="W30">
        <v>28</v>
      </c>
      <c r="Y30">
        <v>2700</v>
      </c>
    </row>
    <row r="31" spans="1:25">
      <c r="W31">
        <v>29</v>
      </c>
      <c r="Y31">
        <v>2700</v>
      </c>
    </row>
    <row r="32" spans="1:25">
      <c r="W32">
        <v>30</v>
      </c>
      <c r="Y32">
        <v>2700</v>
      </c>
    </row>
  </sheetData>
  <pageMargins left="0.75" right="0.75" top="1" bottom="1" header="0.5" footer="0.5"/>
  <headerFooter>
    <oddFooter>&amp;R_x000D_&amp;1#&amp;"Aptos"&amp;22&amp;KFF8939 RESTRICTED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Melveen Camba</dc:creator>
  <cp:keywords/>
  <dc:description/>
  <cp:lastModifiedBy/>
  <cp:revision/>
  <dcterms:created xsi:type="dcterms:W3CDTF">2026-09-11T08:33:20Z</dcterms:created>
  <dcterms:modified xsi:type="dcterms:W3CDTF">2026-09-11T08:37:34Z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2026-09-11T08:34:37Z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4b6112b2-e8e1-4e93-9773-e69ceca32e87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10, 3, 0, 2</vt:lpwstr>
  </property>
</Properties>
</file>